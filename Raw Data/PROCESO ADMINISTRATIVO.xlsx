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gran-my.sharepoint.com/personal/mpatarroyo_poligran_edu_co/Documents/"/>
    </mc:Choice>
  </mc:AlternateContent>
  <xr:revisionPtr revIDLastSave="0" documentId="8_{8A8C11DF-4595-9442-8BB3-0EC6B5C17B73}" xr6:coauthVersionLast="47" xr6:coauthVersionMax="47" xr10:uidLastSave="{00000000-0000-0000-0000-000000000000}"/>
  <bookViews>
    <workbookView xWindow="-110" yWindow="-110" windowWidth="19420" windowHeight="10300" firstSheet="2" activeTab="1" xr2:uid="{112DBCE8-EFAF-4B0A-9015-8A7745DB06AD}"/>
  </bookViews>
  <sheets>
    <sheet name="PESTA" sheetId="1" r:id="rId1"/>
    <sheet name="CANVAS" sheetId="2" r:id="rId2"/>
    <sheet name="COSTE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10" i="3"/>
</calcChain>
</file>

<file path=xl/sharedStrings.xml><?xml version="1.0" encoding="utf-8"?>
<sst xmlns="http://schemas.openxmlformats.org/spreadsheetml/2006/main" count="190" uniqueCount="141">
  <si>
    <t>FACTOR</t>
  </si>
  <si>
    <t>ASPECTO</t>
  </si>
  <si>
    <t>DESCRIPCION</t>
  </si>
  <si>
    <t>OPORTUNDAD</t>
  </si>
  <si>
    <t>AMENAZA</t>
  </si>
  <si>
    <t>BIBLIOGRAFIA</t>
  </si>
  <si>
    <t>ECONOMICO</t>
  </si>
  <si>
    <t>Estudios adminisrativos</t>
  </si>
  <si>
    <t>Según el departamento administrativo nacional de estadística y la secretaria distrital de planeación en Bogotá cerca del 30% de los hogares presenta inseguridad alimentaria.</t>
  </si>
  <si>
    <t>X</t>
  </si>
  <si>
    <t>Localidades mas afectadas</t>
  </si>
  <si>
    <t xml:space="preserve"> Kennedy, bosa y ciudad Bolívar tienen un porcentaje mas alto llegando entre los 35% y 45% de los hogares con dificultad para acceder a alimentos suficientes</t>
  </si>
  <si>
    <t xml:space="preserve">Predominacion de trabajos para generar ingresos </t>
  </si>
  <si>
    <t>Recicladores, madres cabeza de hogar que se encuentran en los estratos 1 y 2, según la DANE Colombia – Muchos de los hogares destinan del 30% de sus ingresos a alimentos generando menor capacidad de compra, mayor riesgo a desnutrición, dependencias de ayudas externas.</t>
  </si>
  <si>
    <t xml:space="preserve">Falta de oportunidades laborales </t>
  </si>
  <si>
    <t>En Kennedy, Bosa y Ciudad Bolívar el problema no es la escasez de alimentos, sino la falta de acceso económico frente a un sistema que desperdicia comida diariamente.</t>
  </si>
  <si>
    <t xml:space="preserve"> reducir los gastos en alimentos en familias vulnerables</t>
  </si>
  <si>
    <t>AMBIENTAL</t>
  </si>
  <si>
    <t>Emisiones de Gases de Efecto Invernadero (GEI)</t>
  </si>
  <si>
    <t>La descomposición de comida en rellenos sanitarios (como Doña Juana) genera grandes cantidades de metano, un gas 25 veces más potente que el CO2 en términos de calentamiento global.</t>
  </si>
  <si>
    <t>Tasa de pérdida nacional</t>
  </si>
  <si>
    <t>En Colombia se pierde o desperdicia el 34% de los alimentos producidos (1 de cada 3 toneladas).</t>
  </si>
  <si>
    <t xml:space="preserve">Impacto en emisiones </t>
  </si>
  <si>
    <t>El desperdicio de alimentos es responsable del 8% de las emisiones de gases de efecto invernadero en el país.   
Solo en Corabastos y plazas de mercado se generan toneladas de residuos orgánicos diarios que podrían ser recuperados antes de su descomposición.</t>
  </si>
  <si>
    <t>Saturación del Relleno Sanitario</t>
  </si>
  <si>
    <t>El 1,2 millones de toneladas que Bogotá bota al año reduce drásticamente la vida útil de la infraestructura de disposición de residuos de la ciudad. </t>
  </si>
  <si>
    <t>Huella Hídrica y de Tierra Inútil</t>
  </si>
  <si>
    <t>Se desperdicia toda el agua y la energía utilizada para producir, procesar y transportar esos alimentos que nadie comió.</t>
  </si>
  <si>
    <t>SOCIAL</t>
  </si>
  <si>
    <t>Acceso limitado a alimentos nutritivos en la poblacion vulnerable</t>
  </si>
  <si>
    <t>personas en situación de calle, recicladores y familias de bajos ingresos tienen desnutrición crónica, hambre oculta y dependencia de ayudas esporádicas, afectando especialmente a niños, adultos mayores y personas con enfermedades previas.</t>
  </si>
  <si>
    <t>Desigualdad social y la marginalización urbana.</t>
  </si>
  <si>
    <t xml:space="preserve">Existe una marcada brecha social en el acceso a recursos básicos, donde mientras algunos sectores desperdician alimentos en grandes cantidades, otros no logran cubrir necesidades mínimas de alimentación. </t>
  </si>
  <si>
    <t>Dificultad de inclusión en iniciativas de seguridad alimentaria.</t>
  </si>
  <si>
    <t>Las personas en situación de calle y recicladores suelen ser socialmente estigmatizados, lo que reduce sus oportunidades de acceso a empleo, programas de apoyo y redes comunitarias.</t>
  </si>
  <si>
    <t>canalizacion ineficientemente al excedente de alimentos hacia quienes lo necesitan.</t>
  </si>
  <si>
    <t>Aunque existen iniciativas de ayuda, hay una falta de organización estructurada entre comunidad, restaurantes, supermercados y entidades sociales.</t>
  </si>
  <si>
    <t>baja educación en consumo responsable y sostenibilidad alimentaria.</t>
  </si>
  <si>
    <t>A nivel social se ha normalizado el desperdicio de alimentos en hogares, restaurantes y supermercados, sin una conciencia plena del impacto que esto tiene frente al hambre urbana.</t>
  </si>
  <si>
    <t xml:space="preserve">TECNOLOGICO </t>
  </si>
  <si>
    <t>Limitado acceso a herramientas tecnológicas en poblaciones vulnerables</t>
  </si>
  <si>
    <t>Existe una brecha digital en el sector de Kennedy, donde muchas personas beneficiarias no cuentan con acceso constante a internet, dispositivos móviles o conocimientos tecnológicos básicos, lo que dificulta el uso de plataformas digitales para registros, comunicación y seguimiento de ayudas.</t>
  </si>
  <si>
    <t>x</t>
  </si>
  <si>
    <t>Uso insuficiente de sistemas tecnológicos para la gestión de donaciones</t>
  </si>
  <si>
    <t>Muchas iniciativas de donación de alimentos operan con procesos manuales o poco sistematizados, lo que genera desorden en inventarios, duplicidad en entregas y dificultades para llevar un control claro de los mercados entregados.</t>
  </si>
  <si>
    <t>Falta de integración tecnológica entre donantes y organizaciones sociales</t>
  </si>
  <si>
    <t>No existe una articulación tecnológica eficiente entre restaurantes, supermercados, comunidad y organizaciones sociales, lo que limita la canalización adecuada de excedentes de alimentos hacia quienes más lo necesitan.</t>
  </si>
  <si>
    <t>Baja adopción de herramientas digitales para la transparencia y el seguimiento</t>
  </si>
  <si>
    <t>La ausencia de plataformas digitales de trazabilidad y registro dificulta la generación de evidencia clara del impacto social, afectando la confianza de donantes y aliados estratégicos.</t>
  </si>
  <si>
    <t>Limitada capacitación tecnológica de voluntarios y gestores sociales</t>
  </si>
  <si>
    <t>Muchos actores involucrados en la distribución de mercados de donación carecen de formación en el uso de herramientas tecnológicas, lo que reduce la eficiencia operativa y el aprovechamiento de soluciones digitales disponibles.</t>
  </si>
  <si>
    <t>POLITICO</t>
  </si>
  <si>
    <t>INVERSIÓN INICIAL (SOLO SE USA UNA VEZ)</t>
  </si>
  <si>
    <t xml:space="preserve">Concepto </t>
  </si>
  <si>
    <t xml:space="preserve">Para que sirve </t>
  </si>
  <si>
    <t xml:space="preserve">Valor </t>
  </si>
  <si>
    <t xml:space="preserve">Quien financia? </t>
  </si>
  <si>
    <t xml:space="preserve">App </t>
  </si>
  <si>
    <t>Registro de donantes,
 asignación de recolección, trazabilidad básica</t>
  </si>
  <si>
    <t>ONG patrocinadora</t>
  </si>
  <si>
    <t>Estanterías metálicas (3)</t>
  </si>
  <si>
    <t>Organizar alimentos por 
zonas/stock 450.000 X C/U</t>
  </si>
  <si>
    <t>ONG</t>
  </si>
  <si>
    <t>Cajas plásticas fijas (20)</t>
  </si>
  <si>
    <t>Clasificación interna 
(no se entregan)</t>
  </si>
  <si>
    <t>ONG/ Donacion en especie</t>
  </si>
  <si>
    <t>Celular + computador</t>
  </si>
  <si>
    <t>Gestión, registro, reportes</t>
  </si>
  <si>
    <t>ONG / donación de equipos usados</t>
  </si>
  <si>
    <t>Salubridad (arranque)</t>
  </si>
  <si>
    <t>Termómetros (2): $80.000
Báscula (1): $100.000
Recipientes con tapa / organización: $180.000
Kit limpieza inicial + señalización + checklist impresos: $250.000
Cavas/coolers (2) + gel packs (si manejas perecederos controlados): $490.000</t>
  </si>
  <si>
    <t>Total inversión inicial estimada:</t>
  </si>
  <si>
    <t xml:space="preserve"> COSTOS MENSUALES (OPERACIÓN)</t>
  </si>
  <si>
    <t>Rubro</t>
  </si>
  <si>
    <t>Qué cubre</t>
  </si>
  <si>
    <t>Valor mensual</t>
  </si>
  <si>
    <t>¿Quién financia?</t>
  </si>
  <si>
    <t>Coordinación operativa (nosotras)</t>
  </si>
  <si>
    <t>Operación, control, reportes, 
asignaciones</t>
  </si>
  <si>
    <t>ONG (presupuesto del proyecto)</t>
  </si>
  <si>
    <t>Recolectores sociales</t>
  </si>
  <si>
    <t>12 rutas x $25.000 (pago por servicio)</t>
  </si>
  <si>
    <t>ONG / aportes RSE</t>
  </si>
  <si>
    <t>Soporte app + hosting</t>
  </si>
  <si>
    <t>Mantener plataforma operativa</t>
  </si>
  <si>
    <t>ONG / convocatoria</t>
  </si>
  <si>
    <t>Insumos de entrega</t>
  </si>
  <si>
    <t>Bolsas, guantes, etiquetas</t>
  </si>
  <si>
    <t>ONG / donación</t>
  </si>
  <si>
    <t>Transporte complementario</t>
  </si>
  <si>
    <t>Jornadas de entrega/traslados</t>
  </si>
  <si>
    <t>ONG / aliados</t>
  </si>
  <si>
    <t>Conectividad</t>
  </si>
  <si>
    <t>Internet/datos del equipo</t>
  </si>
  <si>
    <t>Salubridad mensual</t>
  </si>
  <si>
    <t>limpieza + desinfección + paños: $120.000
EPP (guantes/cofias): $80.000
manejo de residuos / bolsas extra: $40.000
control básico (hielo/gel packs, si aplica perecedero): $60.000
fumigación simple o control preventivo (prorrateado): $60.000</t>
  </si>
  <si>
    <t xml:space="preserve">Total mensual estimado: </t>
  </si>
  <si>
    <t>¿QUIÉN GANA Y QUÉ GANA? (VALOR CADA ACTOR)</t>
  </si>
  <si>
    <t xml:space="preserve">Actor </t>
  </si>
  <si>
    <t>Que aporta</t>
  </si>
  <si>
    <t>Que recibe/que gana</t>
  </si>
  <si>
    <t xml:space="preserve">Forma de pago/beneficio </t>
  </si>
  <si>
    <t>Dinero, respaldo institucional,
 auditoría social</t>
  </si>
  <si>
    <t>Impacto medible, reputación, 
cumplimiento misión</t>
  </si>
  <si>
    <t>Reportes, indicadores, evidencia</t>
  </si>
  <si>
    <t>Empresa social (RE-S)</t>
  </si>
  <si>
    <t>Opera sistema completo</t>
  </si>
  <si>
    <t>Ingreso por servicio de 
operación + experiencia/crecimiento</t>
  </si>
  <si>
    <t>Honorarios de coordinación 
(ej. $900.000/mes)</t>
  </si>
  <si>
    <t>Recolección y traslado</t>
  </si>
  <si>
    <t>Ingreso, empleo local</t>
  </si>
  <si>
    <t>Pago por recolección 
(ej. $25.000 por servicio)</t>
  </si>
  <si>
    <t>Restaurantes/comercios</t>
  </si>
  <si>
    <t>Donan excedentes</t>
  </si>
  <si>
    <t>Menos desperdicio 
+ reputación</t>
  </si>
  <si>
    <t xml:space="preserve">Certificados, visibilidad. </t>
  </si>
  <si>
    <t>Beneficiarios</t>
  </si>
  <si>
    <t>Participación y cumplimiento 
de criterios</t>
  </si>
  <si>
    <t>Acceso a mercados + dignidad</t>
  </si>
  <si>
    <t>Entrega programada (sin costo)</t>
  </si>
  <si>
    <t>Voluntariado/comunidad</t>
  </si>
  <si>
    <t>Apoyo en jornadas</t>
  </si>
  <si>
    <t>Certificados, reconocimiento,
 aprendizaje</t>
  </si>
  <si>
    <t>Beneficios no monetarios 
(Descuentos con comercios aliados 5%–15%)</t>
  </si>
  <si>
    <t>Alineación normativa</t>
  </si>
  <si>
    <t>Cumplimiento estricto de las leyes sanitarias y de manipulación de alimentos (INVIMA) para operar legalmente.</t>
  </si>
  <si>
    <t>Incentivos legalesIncentivos legales</t>
  </si>
  <si>
    <t>Regulación de responsabilidadRegulación de responsabilidad</t>
  </si>
  <si>
    <t>Gobernanza y uso de sueloGobernanza y uso de sueloGobernanza y uso de sueloGobernanza y uso de suelo</t>
  </si>
  <si>
    <t>Alianzas público-privadas</t>
  </si>
  <si>
    <t>Capacidad de gestionar convenios con alcaldías locales y entidades como la Secretaría de Integración Social.</t>
  </si>
  <si>
    <t>Fomento de marcos jurídicos que otorguen beneficios tributarios a empresas que donan excedentes.</t>
  </si>
  <si>
    <t>Riesgo jurídico para donantes ante posibles incidentes sanitarios si no existe un marco de "donación de buena fe".</t>
  </si>
  <si>
    <t>Permisos y acuerdos con el Distrito y juntas de barrio para la instalación de infraestructura (lockers) en zonas públicas</t>
  </si>
  <si>
    <t>ALIADOS CLAVE:
COMIDAR incluyen actores del sector privado como restaurantes y supermercados, que aportan los excedentes de alimentos; entidades del sector público como las alcaldías locales y la Secretaría Distrital de Integración Social, que facilitan la articulación con programas sociales y la población vulnerable; organizaciones humanitarias y de cooperación como, Banco de Alimentos de Bogotá y la Cruz Roja Colombiana, que aportan legitimidad, experiencia y posibles recursos; así como aliados logísticos y tecnológicos como empresas de transporte y plataformas de entrega como Rappi. Finalmente, la comunidad organizada, incluyendo líderes barriales y juntas de acción comunal, es un aliado fundamental para la validación de beneficiarios, la supervisión de los nodos y la sostenibilidad del sistema.</t>
  </si>
  <si>
    <t>ACTIVIDADES CLAVE:
COMIDAR se centran en la captación y gestión de donaciones de alimentos provenientes de restaurantes y supermercados, la coordinación de su recolección y transporte, y su clasificación bajo protocolos de control sanitario para garantizar calidad y seguridad. 
A partir de esto, se realiza el armado de canastas de supervivencia y su distribución gestionados mediante una app y un sistema de tarjetas solidarias. De forma complementaria, COMIDAR desarrolla y mantiene su plataforma tecnológica, gestiona alianzas con actores públicos, privados y ONG, y promueve la articulación comunitaria para validar beneficiarios, supervisar los nodos y asegurar la transparencia y sostenibilidad del sistema.</t>
  </si>
  <si>
    <t>RECURSOS CLAVE: 
COMIDAR cuenta con una plataforma tecnológica (app, sistema de y base de datos) que permite la gestión y trazabilidad del sistema; puntos de acceso digno a los alimentos; un centro de acopio para la clasificación segura; y la logística de transporte para la recolección y distribución. A esto se suman el equipo humano operativo, la red de donantes que garantiza el flujo de alimentos y el respaldo de la ONG (Ministerio de Salud y protección social) que aporta legitimidad y cumplimiento sanitario.</t>
  </si>
  <si>
    <t>PROPUESTA DE VALOR:
 COMIDAR es una red solidaria que transforma el desperdicio de alimentos en acceso digno y seguro para poblaciones vulnerables, conectando excedentes de restaurantes y supermercados con comunidades que enfrentan inseguridad alimentaria.                        
Por medio de una app el sistema permite una distribución eficiente, trazable y sin intermediación directa, reduciendo el hambre urbano mientras optimiza la gestión de residuos y genera impacto social medible para aliados públicos y privados.</t>
  </si>
  <si>
    <t>RELACION CON LOS CLIENTES:
COMIDAR se basa en la construcción de confianza, accesibilidad y participación activa. Con los beneficiarios, la relación es directa y continua a través de un sistema de acceso digno mediante registro en la app, acompañamiento comunitario y validación periódica de su situación, garantizando transparencia y equidad. Con los donantes (restaurantes y supermercados), se mantiene una relación de colaboración basada en la visibilidad de su impacto social dentro de la app, reportes de trazabilidad de sus donaciones y reconocimiento público que fortalece su reputación. Además, con aliados institucionales y ONG se establece una relación de cooperación estratégica, enfocada en la coordinación, supervisión y mejora y ellos ganan un alivio tributario</t>
  </si>
  <si>
    <t>CANALES DE COMUNICACIÓN:
COMIDAR incluyen la app móvil, principal herramienta para gestionar donaciones y acceso de beneficiarios; punto físico de interacción; las jornadas comunitarias para registro y validación; las redes sociales para difusión e impacto; y la comunicación directa con ONG y entidades públicas para coordinación y seguimiento del proyecto.</t>
  </si>
  <si>
    <t>SEGMENTACION DE CLIENTES:
COMIDAR se divide en tres grupos: beneficiarios (familias vulnerables, personas en situación de calle, recicladores y adultos mayores), donantes (restaurantes y supermercados que aportan excedentes de alimentos) y aliados institucionales (ONG, entidades públicas y organizaciones de cooperación que brindan apoyo financiero, logístico y de legitimidad).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</si>
</sst>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 wrapText="1"/>
    </xf>
    <xf numFmtId="165" fontId="0" fillId="0" borderId="0" xfId="1" applyFont="1"/>
    <xf numFmtId="0" fontId="0" fillId="0" borderId="9" xfId="0" applyBorder="1" applyAlignment="1">
      <alignment wrapText="1"/>
    </xf>
    <xf numFmtId="166" fontId="0" fillId="0" borderId="9" xfId="1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vertical="center" wrapText="1"/>
    </xf>
    <xf numFmtId="166" fontId="0" fillId="0" borderId="9" xfId="1" applyNumberFormat="1" applyFont="1" applyBorder="1" applyAlignment="1">
      <alignment horizontal="center" vertical="center" wrapText="1"/>
    </xf>
    <xf numFmtId="166" fontId="0" fillId="0" borderId="9" xfId="1" applyNumberFormat="1" applyFont="1" applyBorder="1"/>
    <xf numFmtId="0" fontId="3" fillId="0" borderId="9" xfId="0" applyFont="1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9" xfId="1" applyNumberFormat="1" applyFont="1" applyFill="1" applyBorder="1"/>
    <xf numFmtId="165" fontId="0" fillId="0" borderId="9" xfId="1" applyFont="1" applyBorder="1" applyAlignment="1">
      <alignment horizontal="center" vertical="center" wrapText="1"/>
    </xf>
    <xf numFmtId="165" fontId="0" fillId="0" borderId="9" xfId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/>
    <xf numFmtId="165" fontId="4" fillId="0" borderId="13" xfId="1" applyFont="1" applyBorder="1"/>
    <xf numFmtId="0" fontId="3" fillId="0" borderId="13" xfId="0" applyFont="1" applyBorder="1" applyAlignment="1">
      <alignment horizontal="center"/>
    </xf>
    <xf numFmtId="165" fontId="3" fillId="0" borderId="13" xfId="1" applyFont="1" applyBorder="1" applyAlignment="1">
      <alignment horizontal="center"/>
    </xf>
    <xf numFmtId="166" fontId="3" fillId="2" borderId="9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10" Type="http://schemas.openxmlformats.org/officeDocument/2006/relationships/customXml" Target="../customXml/item3.xml" /><Relationship Id="rId4" Type="http://schemas.openxmlformats.org/officeDocument/2006/relationships/theme" Target="theme/theme1.xml" /><Relationship Id="rId9" Type="http://schemas.openxmlformats.org/officeDocument/2006/relationships/customXml" Target="../customXml/item2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428625</xdr:colOff>
      <xdr:row>0</xdr:row>
      <xdr:rowOff>0</xdr:rowOff>
    </xdr:from>
    <xdr:to>
      <xdr:col>21</xdr:col>
      <xdr:colOff>166687</xdr:colOff>
      <xdr:row>13</xdr:row>
      <xdr:rowOff>137770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CE2BEE-F455-4500-B19C-D7A5D717A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0"/>
          <a:ext cx="7096125" cy="599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80B2-2A9F-499B-AA29-EB1238E12AB5}">
  <dimension ref="A1:F26"/>
  <sheetViews>
    <sheetView topLeftCell="A12" zoomScale="69" zoomScaleNormal="69" workbookViewId="0">
      <selection activeCell="B23" sqref="B23"/>
    </sheetView>
  </sheetViews>
  <sheetFormatPr defaultColWidth="11.43359375" defaultRowHeight="15" x14ac:dyDescent="0.2"/>
  <cols>
    <col min="1" max="1" width="15.87109375" style="1" customWidth="1"/>
    <col min="2" max="6" width="36.05078125" style="1" customWidth="1"/>
    <col min="7" max="16384" width="11.43359375" style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8.25" x14ac:dyDescent="0.2">
      <c r="A2" s="5" t="s">
        <v>6</v>
      </c>
      <c r="B2" s="5" t="s">
        <v>7</v>
      </c>
      <c r="C2" s="5" t="s">
        <v>8</v>
      </c>
      <c r="D2" s="5"/>
      <c r="E2" s="5" t="s">
        <v>9</v>
      </c>
      <c r="F2" s="5"/>
    </row>
    <row r="3" spans="1:6" ht="54.75" x14ac:dyDescent="0.2">
      <c r="A3" s="5" t="s">
        <v>6</v>
      </c>
      <c r="B3" s="5" t="s">
        <v>10</v>
      </c>
      <c r="C3" s="5" t="s">
        <v>11</v>
      </c>
      <c r="D3" s="5"/>
      <c r="E3" s="5" t="s">
        <v>9</v>
      </c>
      <c r="F3" s="5"/>
    </row>
    <row r="4" spans="1:6" ht="94.5" x14ac:dyDescent="0.2">
      <c r="A4" s="5" t="s">
        <v>6</v>
      </c>
      <c r="B4" s="5" t="s">
        <v>12</v>
      </c>
      <c r="C4" s="5" t="s">
        <v>13</v>
      </c>
      <c r="D4" s="5"/>
      <c r="E4" s="5" t="s">
        <v>9</v>
      </c>
      <c r="F4" s="5"/>
    </row>
    <row r="5" spans="1:6" ht="68.25" x14ac:dyDescent="0.2">
      <c r="A5" s="5" t="s">
        <v>6</v>
      </c>
      <c r="B5" s="5" t="s">
        <v>14</v>
      </c>
      <c r="C5" s="5" t="s">
        <v>15</v>
      </c>
      <c r="D5" s="5" t="s">
        <v>9</v>
      </c>
      <c r="E5" s="5"/>
      <c r="F5" s="5"/>
    </row>
    <row r="6" spans="1:6" ht="68.25" x14ac:dyDescent="0.2">
      <c r="A6" s="5" t="s">
        <v>6</v>
      </c>
      <c r="B6" s="5" t="s">
        <v>16</v>
      </c>
      <c r="C6" s="5" t="s">
        <v>15</v>
      </c>
      <c r="D6" s="5" t="s">
        <v>9</v>
      </c>
      <c r="E6" s="5"/>
      <c r="F6" s="5"/>
    </row>
    <row r="7" spans="1:6" ht="68.25" x14ac:dyDescent="0.2">
      <c r="A7" s="5" t="s">
        <v>17</v>
      </c>
      <c r="B7" s="5" t="s">
        <v>18</v>
      </c>
      <c r="C7" s="5" t="s">
        <v>19</v>
      </c>
      <c r="D7" s="5"/>
      <c r="E7" s="5" t="s">
        <v>9</v>
      </c>
      <c r="F7" s="5"/>
    </row>
    <row r="8" spans="1:6" ht="41.25" x14ac:dyDescent="0.2">
      <c r="A8" s="5" t="s">
        <v>17</v>
      </c>
      <c r="B8" s="5" t="s">
        <v>20</v>
      </c>
      <c r="C8" s="5" t="s">
        <v>21</v>
      </c>
      <c r="D8" s="5"/>
      <c r="E8" s="5" t="s">
        <v>9</v>
      </c>
      <c r="F8" s="5"/>
    </row>
    <row r="9" spans="1:6" ht="94.5" x14ac:dyDescent="0.2">
      <c r="A9" s="5" t="s">
        <v>17</v>
      </c>
      <c r="B9" s="5" t="s">
        <v>22</v>
      </c>
      <c r="C9" s="5" t="s">
        <v>23</v>
      </c>
      <c r="D9" s="5" t="s">
        <v>9</v>
      </c>
      <c r="E9" s="5"/>
      <c r="F9" s="5"/>
    </row>
    <row r="10" spans="1:6" ht="54.75" x14ac:dyDescent="0.2">
      <c r="A10" s="5" t="s">
        <v>17</v>
      </c>
      <c r="B10" s="5" t="s">
        <v>24</v>
      </c>
      <c r="C10" s="5" t="s">
        <v>25</v>
      </c>
      <c r="D10" s="5" t="s">
        <v>9</v>
      </c>
      <c r="E10" s="5"/>
      <c r="F10" s="5"/>
    </row>
    <row r="11" spans="1:6" ht="54.75" x14ac:dyDescent="0.2">
      <c r="A11" s="5" t="s">
        <v>17</v>
      </c>
      <c r="B11" s="5" t="s">
        <v>26</v>
      </c>
      <c r="C11" s="5" t="s">
        <v>27</v>
      </c>
      <c r="D11" s="5"/>
      <c r="E11" s="5" t="s">
        <v>9</v>
      </c>
      <c r="F11" s="5"/>
    </row>
    <row r="12" spans="1:6" ht="94.5" x14ac:dyDescent="0.2">
      <c r="A12" s="5" t="s">
        <v>28</v>
      </c>
      <c r="B12" s="5" t="s">
        <v>29</v>
      </c>
      <c r="C12" s="5" t="s">
        <v>30</v>
      </c>
      <c r="D12" s="5"/>
      <c r="E12" s="5" t="s">
        <v>9</v>
      </c>
      <c r="F12" s="5"/>
    </row>
    <row r="13" spans="1:6" ht="68.25" x14ac:dyDescent="0.2">
      <c r="A13" s="5" t="s">
        <v>28</v>
      </c>
      <c r="B13" s="5" t="s">
        <v>31</v>
      </c>
      <c r="C13" s="5" t="s">
        <v>32</v>
      </c>
      <c r="D13" s="5"/>
      <c r="E13" s="5" t="s">
        <v>9</v>
      </c>
      <c r="F13" s="5"/>
    </row>
    <row r="14" spans="1:6" ht="68.25" x14ac:dyDescent="0.2">
      <c r="A14" s="5" t="s">
        <v>28</v>
      </c>
      <c r="B14" s="5" t="s">
        <v>33</v>
      </c>
      <c r="C14" s="5" t="s">
        <v>34</v>
      </c>
      <c r="D14" s="5" t="s">
        <v>9</v>
      </c>
      <c r="E14" s="5"/>
      <c r="F14" s="5"/>
    </row>
    <row r="15" spans="1:6" ht="54.75" x14ac:dyDescent="0.2">
      <c r="A15" s="5" t="s">
        <v>28</v>
      </c>
      <c r="B15" s="5" t="s">
        <v>35</v>
      </c>
      <c r="C15" s="5" t="s">
        <v>36</v>
      </c>
      <c r="D15" s="5" t="s">
        <v>9</v>
      </c>
      <c r="E15" s="5"/>
      <c r="F15" s="5"/>
    </row>
    <row r="16" spans="1:6" ht="68.25" x14ac:dyDescent="0.2">
      <c r="A16" s="5" t="s">
        <v>28</v>
      </c>
      <c r="B16" s="5" t="s">
        <v>37</v>
      </c>
      <c r="C16" s="5" t="s">
        <v>38</v>
      </c>
      <c r="D16" s="5"/>
      <c r="E16" s="5" t="s">
        <v>9</v>
      </c>
      <c r="F16" s="5"/>
    </row>
    <row r="17" spans="1:6" ht="108" x14ac:dyDescent="0.2">
      <c r="A17" s="5" t="s">
        <v>39</v>
      </c>
      <c r="B17" s="5" t="s">
        <v>40</v>
      </c>
      <c r="C17" s="5" t="s">
        <v>41</v>
      </c>
      <c r="D17" s="5"/>
      <c r="E17" s="5" t="s">
        <v>42</v>
      </c>
      <c r="F17" s="5"/>
    </row>
    <row r="18" spans="1:6" ht="127.5" customHeight="1" x14ac:dyDescent="0.2">
      <c r="A18" s="5" t="s">
        <v>39</v>
      </c>
      <c r="B18" s="5" t="s">
        <v>43</v>
      </c>
      <c r="C18" s="5" t="s">
        <v>44</v>
      </c>
      <c r="D18" s="5"/>
      <c r="E18" s="5" t="s">
        <v>42</v>
      </c>
      <c r="F18" s="5"/>
    </row>
    <row r="19" spans="1:6" ht="113.25" customHeight="1" x14ac:dyDescent="0.2">
      <c r="A19" s="5" t="s">
        <v>39</v>
      </c>
      <c r="B19" s="5" t="s">
        <v>45</v>
      </c>
      <c r="C19" s="5" t="s">
        <v>46</v>
      </c>
      <c r="D19" s="5"/>
      <c r="E19" s="5" t="s">
        <v>42</v>
      </c>
      <c r="F19" s="5"/>
    </row>
    <row r="20" spans="1:6" ht="113.25" customHeight="1" x14ac:dyDescent="0.2">
      <c r="A20" s="5" t="s">
        <v>39</v>
      </c>
      <c r="B20" s="5" t="s">
        <v>47</v>
      </c>
      <c r="C20" s="5" t="s">
        <v>48</v>
      </c>
      <c r="D20" s="5"/>
      <c r="E20" s="5" t="s">
        <v>42</v>
      </c>
      <c r="F20" s="5"/>
    </row>
    <row r="21" spans="1:6" ht="111.75" customHeight="1" x14ac:dyDescent="0.2">
      <c r="A21" s="5" t="s">
        <v>39</v>
      </c>
      <c r="B21" s="5" t="s">
        <v>49</v>
      </c>
      <c r="C21" s="5" t="s">
        <v>50</v>
      </c>
      <c r="D21" s="5" t="s">
        <v>42</v>
      </c>
      <c r="E21" s="5"/>
      <c r="F21" s="5"/>
    </row>
    <row r="22" spans="1:6" ht="41.25" x14ac:dyDescent="0.2">
      <c r="A22" s="5" t="s">
        <v>51</v>
      </c>
      <c r="B22" s="5" t="s">
        <v>124</v>
      </c>
      <c r="C22" s="5" t="s">
        <v>125</v>
      </c>
      <c r="D22" s="5"/>
      <c r="E22" s="5" t="s">
        <v>9</v>
      </c>
      <c r="F22" s="5"/>
    </row>
    <row r="23" spans="1:6" ht="41.25" x14ac:dyDescent="0.2">
      <c r="A23" s="5" t="s">
        <v>51</v>
      </c>
      <c r="B23" s="5" t="s">
        <v>129</v>
      </c>
      <c r="C23" s="5" t="s">
        <v>130</v>
      </c>
      <c r="D23" s="5" t="s">
        <v>9</v>
      </c>
      <c r="E23" s="5"/>
      <c r="F23" s="5"/>
    </row>
    <row r="24" spans="1:6" ht="41.25" x14ac:dyDescent="0.2">
      <c r="A24" s="5" t="s">
        <v>51</v>
      </c>
      <c r="B24" s="5" t="s">
        <v>126</v>
      </c>
      <c r="C24" s="5" t="s">
        <v>131</v>
      </c>
      <c r="D24" s="5" t="s">
        <v>9</v>
      </c>
      <c r="E24" s="5"/>
      <c r="F24" s="5"/>
    </row>
    <row r="25" spans="1:6" ht="41.25" x14ac:dyDescent="0.2">
      <c r="A25" s="5" t="s">
        <v>51</v>
      </c>
      <c r="B25" s="5" t="s">
        <v>127</v>
      </c>
      <c r="C25" s="5" t="s">
        <v>132</v>
      </c>
      <c r="D25" s="5"/>
      <c r="E25" s="5" t="s">
        <v>9</v>
      </c>
      <c r="F25" s="5"/>
    </row>
    <row r="26" spans="1:6" ht="41.25" x14ac:dyDescent="0.2">
      <c r="A26" s="5" t="s">
        <v>51</v>
      </c>
      <c r="B26" s="5" t="s">
        <v>128</v>
      </c>
      <c r="C26" s="5" t="s">
        <v>133</v>
      </c>
      <c r="D26" s="5"/>
      <c r="E26" s="5" t="s">
        <v>9</v>
      </c>
      <c r="F26" s="5"/>
    </row>
  </sheetData>
  <pageMargins left="0.7" right="0.7" top="0.75" bottom="0.75" header="0.3" footer="0.3"/>
  <pageSetup orientation="portrait" r:id="rId1"/>
  <headerFooter>
    <oddFooter>&amp;L_x000D_&amp;1#&amp;"Aptos"&amp;8&amp;K000000 Confidentiality: Confidential - Without Protection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0AF5-2AF8-4701-9736-BB9D0E2FA17C}">
  <dimension ref="A1:P26"/>
  <sheetViews>
    <sheetView showFormulas="1" tabSelected="1" zoomScale="51" zoomScaleNormal="51" workbookViewId="0">
      <selection activeCell="R18" sqref="R18"/>
    </sheetView>
  </sheetViews>
  <sheetFormatPr defaultColWidth="11.43359375" defaultRowHeight="15" x14ac:dyDescent="0.2"/>
  <cols>
    <col min="1" max="2" width="9.4140625" customWidth="1"/>
    <col min="3" max="3" width="41.1640625" customWidth="1"/>
    <col min="4" max="5" width="9.4140625" customWidth="1"/>
    <col min="6" max="6" width="41.1640625" customWidth="1"/>
    <col min="7" max="9" width="9.4140625" customWidth="1"/>
    <col min="10" max="10" width="22.05859375" customWidth="1"/>
    <col min="11" max="12" width="9.4140625" customWidth="1"/>
    <col min="13" max="13" width="21.65625" customWidth="1"/>
    <col min="14" max="16" width="9.4140625" customWidth="1"/>
  </cols>
  <sheetData>
    <row r="1" spans="1:16" ht="28.5" customHeight="1" x14ac:dyDescent="0.2">
      <c r="A1" s="37" t="s">
        <v>134</v>
      </c>
      <c r="B1" s="38"/>
      <c r="C1" s="39"/>
      <c r="D1" s="37" t="s">
        <v>135</v>
      </c>
      <c r="E1" s="38"/>
      <c r="F1" s="39"/>
      <c r="G1" s="37" t="s">
        <v>137</v>
      </c>
      <c r="H1" s="46"/>
      <c r="I1" s="46"/>
      <c r="J1" s="47"/>
      <c r="K1" s="37" t="s">
        <v>138</v>
      </c>
      <c r="L1" s="38"/>
      <c r="M1" s="39"/>
      <c r="N1" s="37" t="s">
        <v>140</v>
      </c>
      <c r="O1" s="38"/>
      <c r="P1" s="39"/>
    </row>
    <row r="2" spans="1:16" ht="28.5" customHeight="1" x14ac:dyDescent="0.2">
      <c r="A2" s="40"/>
      <c r="B2" s="41"/>
      <c r="C2" s="42"/>
      <c r="D2" s="40"/>
      <c r="E2" s="41"/>
      <c r="F2" s="42"/>
      <c r="G2" s="48"/>
      <c r="H2" s="49"/>
      <c r="I2" s="49"/>
      <c r="J2" s="50"/>
      <c r="K2" s="40"/>
      <c r="L2" s="41"/>
      <c r="M2" s="42"/>
      <c r="N2" s="40"/>
      <c r="O2" s="41"/>
      <c r="P2" s="42"/>
    </row>
    <row r="3" spans="1:16" ht="28.5" customHeight="1" x14ac:dyDescent="0.2">
      <c r="A3" s="40"/>
      <c r="B3" s="41"/>
      <c r="C3" s="42"/>
      <c r="D3" s="40"/>
      <c r="E3" s="41"/>
      <c r="F3" s="42"/>
      <c r="G3" s="48"/>
      <c r="H3" s="49"/>
      <c r="I3" s="49"/>
      <c r="J3" s="50"/>
      <c r="K3" s="40"/>
      <c r="L3" s="41"/>
      <c r="M3" s="42"/>
      <c r="N3" s="40"/>
      <c r="O3" s="41"/>
      <c r="P3" s="42"/>
    </row>
    <row r="4" spans="1:16" ht="28.5" customHeight="1" x14ac:dyDescent="0.2">
      <c r="A4" s="40"/>
      <c r="B4" s="41"/>
      <c r="C4" s="42"/>
      <c r="D4" s="40"/>
      <c r="E4" s="41"/>
      <c r="F4" s="42"/>
      <c r="G4" s="48"/>
      <c r="H4" s="49"/>
      <c r="I4" s="49"/>
      <c r="J4" s="50"/>
      <c r="K4" s="40"/>
      <c r="L4" s="41"/>
      <c r="M4" s="42"/>
      <c r="N4" s="40"/>
      <c r="O4" s="41"/>
      <c r="P4" s="42"/>
    </row>
    <row r="5" spans="1:16" ht="28.5" customHeight="1" x14ac:dyDescent="0.2">
      <c r="A5" s="40"/>
      <c r="B5" s="41"/>
      <c r="C5" s="42"/>
      <c r="D5" s="40"/>
      <c r="E5" s="41"/>
      <c r="F5" s="42"/>
      <c r="G5" s="48"/>
      <c r="H5" s="49"/>
      <c r="I5" s="49"/>
      <c r="J5" s="50"/>
      <c r="K5" s="40"/>
      <c r="L5" s="41"/>
      <c r="M5" s="42"/>
      <c r="N5" s="40"/>
      <c r="O5" s="41"/>
      <c r="P5" s="42"/>
    </row>
    <row r="6" spans="1:16" ht="28.5" customHeight="1" x14ac:dyDescent="0.2">
      <c r="A6" s="40"/>
      <c r="B6" s="41"/>
      <c r="C6" s="42"/>
      <c r="D6" s="40"/>
      <c r="E6" s="41"/>
      <c r="F6" s="42"/>
      <c r="G6" s="48"/>
      <c r="H6" s="49"/>
      <c r="I6" s="49"/>
      <c r="J6" s="50"/>
      <c r="K6" s="40"/>
      <c r="L6" s="41"/>
      <c r="M6" s="42"/>
      <c r="N6" s="40"/>
      <c r="O6" s="41"/>
      <c r="P6" s="42"/>
    </row>
    <row r="7" spans="1:16" ht="28.5" customHeight="1" x14ac:dyDescent="0.2">
      <c r="A7" s="40"/>
      <c r="B7" s="41"/>
      <c r="C7" s="42"/>
      <c r="D7" s="40"/>
      <c r="E7" s="41"/>
      <c r="F7" s="42"/>
      <c r="G7" s="48"/>
      <c r="H7" s="49"/>
      <c r="I7" s="49"/>
      <c r="J7" s="50"/>
      <c r="K7" s="40"/>
      <c r="L7" s="41"/>
      <c r="M7" s="42"/>
      <c r="N7" s="40"/>
      <c r="O7" s="41"/>
      <c r="P7" s="42"/>
    </row>
    <row r="8" spans="1:16" ht="28.5" customHeight="1" x14ac:dyDescent="0.2">
      <c r="A8" s="40"/>
      <c r="B8" s="41"/>
      <c r="C8" s="42"/>
      <c r="D8" s="40"/>
      <c r="E8" s="41"/>
      <c r="F8" s="42"/>
      <c r="G8" s="48"/>
      <c r="H8" s="49"/>
      <c r="I8" s="49"/>
      <c r="J8" s="50"/>
      <c r="K8" s="40"/>
      <c r="L8" s="41"/>
      <c r="M8" s="42"/>
      <c r="N8" s="40"/>
      <c r="O8" s="41"/>
      <c r="P8" s="42"/>
    </row>
    <row r="9" spans="1:16" ht="28.5" customHeight="1" x14ac:dyDescent="0.2">
      <c r="A9" s="40"/>
      <c r="B9" s="41"/>
      <c r="C9" s="42"/>
      <c r="D9" s="40"/>
      <c r="E9" s="41"/>
      <c r="F9" s="42"/>
      <c r="G9" s="48"/>
      <c r="H9" s="49"/>
      <c r="I9" s="49"/>
      <c r="J9" s="50"/>
      <c r="K9" s="40"/>
      <c r="L9" s="41"/>
      <c r="M9" s="42"/>
      <c r="N9" s="40"/>
      <c r="O9" s="41"/>
      <c r="P9" s="42"/>
    </row>
    <row r="10" spans="1:16" ht="119.25" customHeight="1" thickBot="1" x14ac:dyDescent="0.25">
      <c r="A10" s="40"/>
      <c r="B10" s="41"/>
      <c r="C10" s="42"/>
      <c r="D10" s="43"/>
      <c r="E10" s="44"/>
      <c r="F10" s="45"/>
      <c r="G10" s="48"/>
      <c r="H10" s="49"/>
      <c r="I10" s="49"/>
      <c r="J10" s="50"/>
      <c r="K10" s="43"/>
      <c r="L10" s="44"/>
      <c r="M10" s="45"/>
      <c r="N10" s="40"/>
      <c r="O10" s="41"/>
      <c r="P10" s="42"/>
    </row>
    <row r="11" spans="1:16" ht="28.5" customHeight="1" x14ac:dyDescent="0.2">
      <c r="A11" s="40"/>
      <c r="B11" s="41"/>
      <c r="C11" s="42"/>
      <c r="D11" s="37" t="s">
        <v>136</v>
      </c>
      <c r="E11" s="38"/>
      <c r="F11" s="39"/>
      <c r="G11" s="48"/>
      <c r="H11" s="49"/>
      <c r="I11" s="49"/>
      <c r="J11" s="50"/>
      <c r="K11" s="37" t="s">
        <v>139</v>
      </c>
      <c r="L11" s="38"/>
      <c r="M11" s="39"/>
      <c r="N11" s="40"/>
      <c r="O11" s="41"/>
      <c r="P11" s="42"/>
    </row>
    <row r="12" spans="1:16" ht="28.5" customHeight="1" x14ac:dyDescent="0.2">
      <c r="A12" s="40"/>
      <c r="B12" s="41"/>
      <c r="C12" s="42"/>
      <c r="D12" s="40"/>
      <c r="E12" s="41"/>
      <c r="F12" s="42"/>
      <c r="G12" s="48"/>
      <c r="H12" s="49"/>
      <c r="I12" s="49"/>
      <c r="J12" s="50"/>
      <c r="K12" s="40"/>
      <c r="L12" s="41"/>
      <c r="M12" s="42"/>
      <c r="N12" s="40"/>
      <c r="O12" s="41"/>
      <c r="P12" s="42"/>
    </row>
    <row r="13" spans="1:16" ht="28.5" customHeight="1" x14ac:dyDescent="0.2">
      <c r="A13" s="40"/>
      <c r="B13" s="41"/>
      <c r="C13" s="42"/>
      <c r="D13" s="40"/>
      <c r="E13" s="41"/>
      <c r="F13" s="42"/>
      <c r="G13" s="48"/>
      <c r="H13" s="49"/>
      <c r="I13" s="49"/>
      <c r="J13" s="50"/>
      <c r="K13" s="40"/>
      <c r="L13" s="41"/>
      <c r="M13" s="42"/>
      <c r="N13" s="40"/>
      <c r="O13" s="41"/>
      <c r="P13" s="42"/>
    </row>
    <row r="14" spans="1:16" ht="28.5" customHeight="1" x14ac:dyDescent="0.2">
      <c r="A14" s="40"/>
      <c r="B14" s="41"/>
      <c r="C14" s="42"/>
      <c r="D14" s="40"/>
      <c r="E14" s="41"/>
      <c r="F14" s="42"/>
      <c r="G14" s="48"/>
      <c r="H14" s="49"/>
      <c r="I14" s="49"/>
      <c r="J14" s="50"/>
      <c r="K14" s="40"/>
      <c r="L14" s="41"/>
      <c r="M14" s="42"/>
      <c r="N14" s="40"/>
      <c r="O14" s="41"/>
      <c r="P14" s="42"/>
    </row>
    <row r="15" spans="1:16" ht="28.5" customHeight="1" x14ac:dyDescent="0.2">
      <c r="A15" s="40"/>
      <c r="B15" s="41"/>
      <c r="C15" s="42"/>
      <c r="D15" s="40"/>
      <c r="E15" s="41"/>
      <c r="F15" s="42"/>
      <c r="G15" s="48"/>
      <c r="H15" s="49"/>
      <c r="I15" s="49"/>
      <c r="J15" s="50"/>
      <c r="K15" s="40"/>
      <c r="L15" s="41"/>
      <c r="M15" s="42"/>
      <c r="N15" s="40"/>
      <c r="O15" s="41"/>
      <c r="P15" s="42"/>
    </row>
    <row r="16" spans="1:16" ht="28.5" customHeight="1" x14ac:dyDescent="0.2">
      <c r="A16" s="40"/>
      <c r="B16" s="41"/>
      <c r="C16" s="42"/>
      <c r="D16" s="40"/>
      <c r="E16" s="41"/>
      <c r="F16" s="42"/>
      <c r="G16" s="48"/>
      <c r="H16" s="49"/>
      <c r="I16" s="49"/>
      <c r="J16" s="50"/>
      <c r="K16" s="40"/>
      <c r="L16" s="41"/>
      <c r="M16" s="42"/>
      <c r="N16" s="40"/>
      <c r="O16" s="41"/>
      <c r="P16" s="42"/>
    </row>
    <row r="17" spans="1:16" ht="28.5" customHeight="1" x14ac:dyDescent="0.2">
      <c r="A17" s="40"/>
      <c r="B17" s="41"/>
      <c r="C17" s="42"/>
      <c r="D17" s="40"/>
      <c r="E17" s="41"/>
      <c r="F17" s="42"/>
      <c r="G17" s="48"/>
      <c r="H17" s="49"/>
      <c r="I17" s="49"/>
      <c r="J17" s="50"/>
      <c r="K17" s="40"/>
      <c r="L17" s="41"/>
      <c r="M17" s="42"/>
      <c r="N17" s="40"/>
      <c r="O17" s="41"/>
      <c r="P17" s="42"/>
    </row>
    <row r="18" spans="1:16" ht="28.5" customHeight="1" x14ac:dyDescent="0.2">
      <c r="A18" s="40"/>
      <c r="B18" s="41"/>
      <c r="C18" s="42"/>
      <c r="D18" s="40"/>
      <c r="E18" s="41"/>
      <c r="F18" s="42"/>
      <c r="G18" s="48"/>
      <c r="H18" s="49"/>
      <c r="I18" s="49"/>
      <c r="J18" s="50"/>
      <c r="K18" s="40"/>
      <c r="L18" s="41"/>
      <c r="M18" s="42"/>
      <c r="N18" s="40"/>
      <c r="O18" s="41"/>
      <c r="P18" s="42"/>
    </row>
    <row r="19" spans="1:16" ht="28.5" customHeight="1" x14ac:dyDescent="0.2">
      <c r="A19" s="40"/>
      <c r="B19" s="41"/>
      <c r="C19" s="42"/>
      <c r="D19" s="40"/>
      <c r="E19" s="41"/>
      <c r="F19" s="42"/>
      <c r="G19" s="48"/>
      <c r="H19" s="49"/>
      <c r="I19" s="49"/>
      <c r="J19" s="50"/>
      <c r="K19" s="40"/>
      <c r="L19" s="41"/>
      <c r="M19" s="42"/>
      <c r="N19" s="40"/>
      <c r="O19" s="41"/>
      <c r="P19" s="42"/>
    </row>
    <row r="20" spans="1:16" ht="28.5" customHeight="1" thickBot="1" x14ac:dyDescent="0.25">
      <c r="A20" s="40"/>
      <c r="B20" s="41"/>
      <c r="C20" s="42"/>
      <c r="D20" s="40"/>
      <c r="E20" s="41"/>
      <c r="F20" s="42"/>
      <c r="G20" s="51"/>
      <c r="H20" s="52"/>
      <c r="I20" s="52"/>
      <c r="J20" s="53"/>
      <c r="K20" s="43"/>
      <c r="L20" s="44"/>
      <c r="M20" s="45"/>
      <c r="N20" s="43"/>
      <c r="O20" s="44"/>
      <c r="P20" s="45"/>
    </row>
    <row r="21" spans="1:16" ht="28.5" customHeight="1" x14ac:dyDescent="0.2">
      <c r="A21" s="28"/>
      <c r="B21" s="29"/>
      <c r="C21" s="29"/>
      <c r="D21" s="29"/>
      <c r="E21" s="29"/>
      <c r="F21" s="29"/>
      <c r="G21" s="29"/>
      <c r="H21" s="30"/>
      <c r="P21" s="2"/>
    </row>
    <row r="22" spans="1:16" ht="28.5" customHeight="1" x14ac:dyDescent="0.2">
      <c r="A22" s="31"/>
      <c r="B22" s="32"/>
      <c r="C22" s="32"/>
      <c r="D22" s="32"/>
      <c r="E22" s="32"/>
      <c r="F22" s="32"/>
      <c r="G22" s="32"/>
      <c r="H22" s="33"/>
      <c r="P22" s="2"/>
    </row>
    <row r="23" spans="1:16" ht="28.5" customHeight="1" x14ac:dyDescent="0.2">
      <c r="A23" s="31"/>
      <c r="B23" s="32"/>
      <c r="C23" s="32"/>
      <c r="D23" s="32"/>
      <c r="E23" s="32"/>
      <c r="F23" s="32"/>
      <c r="G23" s="32"/>
      <c r="H23" s="33"/>
      <c r="P23" s="2"/>
    </row>
    <row r="24" spans="1:16" ht="28.5" customHeight="1" x14ac:dyDescent="0.2">
      <c r="A24" s="31"/>
      <c r="B24" s="32"/>
      <c r="C24" s="32"/>
      <c r="D24" s="32"/>
      <c r="E24" s="32"/>
      <c r="F24" s="32"/>
      <c r="G24" s="32"/>
      <c r="H24" s="33"/>
      <c r="P24" s="2"/>
    </row>
    <row r="25" spans="1:16" ht="28.5" customHeight="1" x14ac:dyDescent="0.2">
      <c r="A25" s="31"/>
      <c r="B25" s="32"/>
      <c r="C25" s="32"/>
      <c r="D25" s="32"/>
      <c r="E25" s="32"/>
      <c r="F25" s="32"/>
      <c r="G25" s="32"/>
      <c r="H25" s="33"/>
      <c r="P25" s="2"/>
    </row>
    <row r="26" spans="1:16" ht="28.5" customHeight="1" thickBot="1" x14ac:dyDescent="0.25">
      <c r="A26" s="34"/>
      <c r="B26" s="35"/>
      <c r="C26" s="35"/>
      <c r="D26" s="35"/>
      <c r="E26" s="35"/>
      <c r="F26" s="35"/>
      <c r="G26" s="35"/>
      <c r="H26" s="36"/>
      <c r="I26" s="3"/>
      <c r="J26" s="3"/>
      <c r="K26" s="3"/>
      <c r="L26" s="3"/>
      <c r="M26" s="3"/>
      <c r="N26" s="3"/>
      <c r="O26" s="3"/>
      <c r="P26" s="4"/>
    </row>
  </sheetData>
  <mergeCells count="8">
    <mergeCell ref="A21:H26"/>
    <mergeCell ref="N1:P20"/>
    <mergeCell ref="G1:J20"/>
    <mergeCell ref="K11:M20"/>
    <mergeCell ref="K1:M10"/>
    <mergeCell ref="A1:C20"/>
    <mergeCell ref="D1:F10"/>
    <mergeCell ref="D11:F20"/>
  </mergeCells>
  <pageMargins left="0.7" right="0.7" top="0.75" bottom="0.75" header="0.3" footer="0.3"/>
  <headerFooter>
    <oddFooter>&amp;L_x000D_&amp;1#&amp;"Aptos"&amp;8&amp;K000000 Confidentiality: Confidential - Without Protection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BE92-E943-439E-9231-2DDB4EB60B8B}">
  <dimension ref="B1:E31"/>
  <sheetViews>
    <sheetView workbookViewId="0">
      <selection activeCell="G27" sqref="G27"/>
    </sheetView>
  </sheetViews>
  <sheetFormatPr defaultColWidth="11.43359375" defaultRowHeight="15" x14ac:dyDescent="0.2"/>
  <cols>
    <col min="2" max="2" width="31.4765625" customWidth="1"/>
    <col min="3" max="3" width="34.97265625" customWidth="1"/>
    <col min="4" max="4" width="26.6328125" style="6" customWidth="1"/>
    <col min="5" max="5" width="33.62890625" customWidth="1"/>
    <col min="6" max="6" width="19.1015625" customWidth="1"/>
  </cols>
  <sheetData>
    <row r="1" spans="2:5" ht="15.75" thickBot="1" x14ac:dyDescent="0.25"/>
    <row r="2" spans="2:5" ht="21.75" thickBot="1" x14ac:dyDescent="0.35">
      <c r="B2" s="54" t="s">
        <v>52</v>
      </c>
      <c r="C2" s="55"/>
      <c r="D2" s="55"/>
      <c r="E2" s="56"/>
    </row>
    <row r="3" spans="2:5" x14ac:dyDescent="0.2">
      <c r="B3" s="23" t="s">
        <v>53</v>
      </c>
      <c r="C3" s="23" t="s">
        <v>54</v>
      </c>
      <c r="D3" s="24" t="s">
        <v>55</v>
      </c>
      <c r="E3" s="23" t="s">
        <v>56</v>
      </c>
    </row>
    <row r="4" spans="2:5" ht="29.25" customHeight="1" x14ac:dyDescent="0.2">
      <c r="B4" s="5" t="s">
        <v>57</v>
      </c>
      <c r="C4" s="7" t="s">
        <v>58</v>
      </c>
      <c r="D4" s="8">
        <v>3000000</v>
      </c>
      <c r="E4" s="9" t="s">
        <v>59</v>
      </c>
    </row>
    <row r="5" spans="2:5" ht="27.75" x14ac:dyDescent="0.2">
      <c r="B5" s="10" t="s">
        <v>60</v>
      </c>
      <c r="C5" s="11" t="s">
        <v>61</v>
      </c>
      <c r="D5" s="12">
        <v>1350000</v>
      </c>
      <c r="E5" s="9" t="s">
        <v>62</v>
      </c>
    </row>
    <row r="6" spans="2:5" ht="27.75" x14ac:dyDescent="0.2">
      <c r="B6" s="10" t="s">
        <v>63</v>
      </c>
      <c r="C6" s="7" t="s">
        <v>64</v>
      </c>
      <c r="D6" s="13">
        <v>200000</v>
      </c>
      <c r="E6" s="15" t="s">
        <v>65</v>
      </c>
    </row>
    <row r="7" spans="2:5" x14ac:dyDescent="0.2">
      <c r="B7" s="10" t="s">
        <v>66</v>
      </c>
      <c r="C7" s="10" t="s">
        <v>67</v>
      </c>
      <c r="D7" s="13">
        <v>1700000</v>
      </c>
      <c r="E7" s="15" t="s">
        <v>68</v>
      </c>
    </row>
    <row r="8" spans="2:5" ht="108" x14ac:dyDescent="0.2">
      <c r="B8" s="9" t="s">
        <v>69</v>
      </c>
      <c r="C8" s="5" t="s">
        <v>70</v>
      </c>
      <c r="D8" s="17">
        <v>1100000</v>
      </c>
      <c r="E8" s="9" t="s">
        <v>62</v>
      </c>
    </row>
    <row r="10" spans="2:5" x14ac:dyDescent="0.2">
      <c r="C10" s="14" t="s">
        <v>71</v>
      </c>
      <c r="D10" s="27">
        <f>SUM(D4:D8)</f>
        <v>7350000</v>
      </c>
    </row>
    <row r="11" spans="2:5" ht="15.75" thickBot="1" x14ac:dyDescent="0.25"/>
    <row r="12" spans="2:5" ht="30.6" customHeight="1" thickBot="1" x14ac:dyDescent="0.25">
      <c r="B12" s="57" t="s">
        <v>72</v>
      </c>
      <c r="C12" s="58"/>
      <c r="D12" s="58"/>
      <c r="E12" s="59"/>
    </row>
    <row r="13" spans="2:5" ht="30.6" customHeight="1" x14ac:dyDescent="0.2">
      <c r="B13" s="22" t="s">
        <v>73</v>
      </c>
      <c r="C13" s="22" t="s">
        <v>74</v>
      </c>
      <c r="D13" s="22" t="s">
        <v>75</v>
      </c>
      <c r="E13" s="22" t="s">
        <v>76</v>
      </c>
    </row>
    <row r="14" spans="2:5" ht="27.75" x14ac:dyDescent="0.2">
      <c r="B14" s="9" t="s">
        <v>77</v>
      </c>
      <c r="C14" s="5" t="s">
        <v>78</v>
      </c>
      <c r="D14" s="16">
        <v>900000</v>
      </c>
      <c r="E14" s="9" t="s">
        <v>79</v>
      </c>
    </row>
    <row r="15" spans="2:5" x14ac:dyDescent="0.2">
      <c r="B15" s="9" t="s">
        <v>80</v>
      </c>
      <c r="C15" s="9" t="s">
        <v>81</v>
      </c>
      <c r="D15" s="17">
        <v>300000</v>
      </c>
      <c r="E15" s="9" t="s">
        <v>82</v>
      </c>
    </row>
    <row r="16" spans="2:5" x14ac:dyDescent="0.2">
      <c r="B16" s="9" t="s">
        <v>83</v>
      </c>
      <c r="C16" s="9" t="s">
        <v>84</v>
      </c>
      <c r="D16" s="16">
        <v>200000</v>
      </c>
      <c r="E16" s="9" t="s">
        <v>85</v>
      </c>
    </row>
    <row r="17" spans="2:5" x14ac:dyDescent="0.2">
      <c r="B17" s="9" t="s">
        <v>86</v>
      </c>
      <c r="C17" s="9" t="s">
        <v>87</v>
      </c>
      <c r="D17" s="16">
        <v>130000</v>
      </c>
      <c r="E17" s="9" t="s">
        <v>88</v>
      </c>
    </row>
    <row r="18" spans="2:5" x14ac:dyDescent="0.2">
      <c r="B18" s="9" t="s">
        <v>89</v>
      </c>
      <c r="C18" s="9" t="s">
        <v>90</v>
      </c>
      <c r="D18" s="16">
        <v>120000</v>
      </c>
      <c r="E18" s="9" t="s">
        <v>91</v>
      </c>
    </row>
    <row r="19" spans="2:5" x14ac:dyDescent="0.2">
      <c r="B19" s="9" t="s">
        <v>92</v>
      </c>
      <c r="C19" s="9" t="s">
        <v>93</v>
      </c>
      <c r="D19" s="16">
        <v>100000</v>
      </c>
      <c r="E19" s="9" t="s">
        <v>62</v>
      </c>
    </row>
    <row r="20" spans="2:5" ht="108" x14ac:dyDescent="0.2">
      <c r="B20" s="9" t="s">
        <v>94</v>
      </c>
      <c r="C20" s="5" t="s">
        <v>95</v>
      </c>
      <c r="D20" s="17">
        <v>360000</v>
      </c>
      <c r="E20" s="9" t="s">
        <v>62</v>
      </c>
    </row>
    <row r="22" spans="2:5" x14ac:dyDescent="0.2">
      <c r="C22" s="18" t="s">
        <v>96</v>
      </c>
      <c r="D22" s="19">
        <f>SUM(D14:D20)</f>
        <v>2110000</v>
      </c>
    </row>
    <row r="23" spans="2:5" ht="15.75" thickBot="1" x14ac:dyDescent="0.25"/>
    <row r="24" spans="2:5" ht="15.75" thickBot="1" x14ac:dyDescent="0.25">
      <c r="B24" s="60" t="s">
        <v>97</v>
      </c>
      <c r="C24" s="61"/>
      <c r="D24" s="61"/>
      <c r="E24" s="62"/>
    </row>
    <row r="25" spans="2:5" x14ac:dyDescent="0.2">
      <c r="B25" s="25" t="s">
        <v>98</v>
      </c>
      <c r="C25" s="25" t="s">
        <v>99</v>
      </c>
      <c r="D25" s="26" t="s">
        <v>100</v>
      </c>
      <c r="E25" s="25" t="s">
        <v>101</v>
      </c>
    </row>
    <row r="26" spans="2:5" ht="27.75" x14ac:dyDescent="0.2">
      <c r="B26" s="9" t="s">
        <v>59</v>
      </c>
      <c r="C26" s="5" t="s">
        <v>102</v>
      </c>
      <c r="D26" s="20" t="s">
        <v>103</v>
      </c>
      <c r="E26" s="9" t="s">
        <v>104</v>
      </c>
    </row>
    <row r="27" spans="2:5" ht="41.25" x14ac:dyDescent="0.2">
      <c r="B27" s="9" t="s">
        <v>105</v>
      </c>
      <c r="C27" s="9" t="s">
        <v>106</v>
      </c>
      <c r="D27" s="20" t="s">
        <v>107</v>
      </c>
      <c r="E27" s="5" t="s">
        <v>108</v>
      </c>
    </row>
    <row r="28" spans="2:5" ht="27.75" x14ac:dyDescent="0.2">
      <c r="B28" s="9" t="s">
        <v>80</v>
      </c>
      <c r="C28" s="9" t="s">
        <v>109</v>
      </c>
      <c r="D28" s="21" t="s">
        <v>110</v>
      </c>
      <c r="E28" s="5" t="s">
        <v>111</v>
      </c>
    </row>
    <row r="29" spans="2:5" ht="27.75" x14ac:dyDescent="0.2">
      <c r="B29" s="9" t="s">
        <v>112</v>
      </c>
      <c r="C29" s="9" t="s">
        <v>113</v>
      </c>
      <c r="D29" s="20" t="s">
        <v>114</v>
      </c>
      <c r="E29" s="9" t="s">
        <v>115</v>
      </c>
    </row>
    <row r="30" spans="2:5" ht="27.75" x14ac:dyDescent="0.2">
      <c r="B30" s="9" t="s">
        <v>116</v>
      </c>
      <c r="C30" s="5" t="s">
        <v>117</v>
      </c>
      <c r="D30" s="21" t="s">
        <v>118</v>
      </c>
      <c r="E30" s="9" t="s">
        <v>119</v>
      </c>
    </row>
    <row r="31" spans="2:5" ht="41.25" x14ac:dyDescent="0.2">
      <c r="B31" s="9" t="s">
        <v>120</v>
      </c>
      <c r="C31" s="9" t="s">
        <v>121</v>
      </c>
      <c r="D31" s="20" t="s">
        <v>122</v>
      </c>
      <c r="E31" s="5" t="s">
        <v>123</v>
      </c>
    </row>
  </sheetData>
  <mergeCells count="3">
    <mergeCell ref="B2:E2"/>
    <mergeCell ref="B12:E12"/>
    <mergeCell ref="B24:E24"/>
  </mergeCells>
  <pageMargins left="0.7" right="0.7" top="0.75" bottom="0.75" header="0.3" footer="0.3"/>
  <headerFooter>
    <oddFooter>&amp;L_x000D_&amp;1#&amp;"Aptos"&amp;8&amp;K000000 Confidentiality: Confidential - Without Protection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06C1C9C28943489DE8934C06CFACE9" ma:contentTypeVersion="8" ma:contentTypeDescription="Crear nuevo documento." ma:contentTypeScope="" ma:versionID="a6c9dbc9123d8e29aedefd3337db3356">
  <xsd:schema xmlns:xsd="http://www.w3.org/2001/XMLSchema" xmlns:xs="http://www.w3.org/2001/XMLSchema" xmlns:p="http://schemas.microsoft.com/office/2006/metadata/properties" xmlns:ns3="8f54bc70-53ae-4388-828b-07eef6a4de3a" xmlns:ns4="4668280b-5bf8-4943-9a2f-67498efca1d7" targetNamespace="http://schemas.microsoft.com/office/2006/metadata/properties" ma:root="true" ma:fieldsID="c171983c6230b37fc3e5d6ff721ad3f3" ns3:_="" ns4:_="">
    <xsd:import namespace="8f54bc70-53ae-4388-828b-07eef6a4de3a"/>
    <xsd:import namespace="4668280b-5bf8-4943-9a2f-67498efca1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4bc70-53ae-4388-828b-07eef6a4de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8280b-5bf8-4943-9a2f-67498efca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68280b-5bf8-4943-9a2f-67498efca1d7" xsi:nil="true"/>
  </documentManagement>
</p:properties>
</file>

<file path=customXml/itemProps1.xml><?xml version="1.0" encoding="utf-8"?>
<ds:datastoreItem xmlns:ds="http://schemas.openxmlformats.org/officeDocument/2006/customXml" ds:itemID="{372CBD0A-FAF4-4105-9B3A-096DB6D93A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808E04-5FA3-4372-881E-44D1D73F06B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f54bc70-53ae-4388-828b-07eef6a4de3a"/>
    <ds:schemaRef ds:uri="4668280b-5bf8-4943-9a2f-67498efca1d7"/>
  </ds:schemaRefs>
</ds:datastoreItem>
</file>

<file path=customXml/itemProps3.xml><?xml version="1.0" encoding="utf-8"?>
<ds:datastoreItem xmlns:ds="http://schemas.openxmlformats.org/officeDocument/2006/customXml" ds:itemID="{D82D276E-93F9-41E4-AF18-1EBB389D90D1}">
  <ds:schemaRefs>
    <ds:schemaRef ds:uri="http://schemas.microsoft.com/office/2006/metadata/properties"/>
    <ds:schemaRef ds:uri="http://www.w3.org/2000/xmlns/"/>
    <ds:schemaRef ds:uri="4668280b-5bf8-4943-9a2f-67498efca1d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cbbb9c04-7faf-442b-bcb3-bbad3fd04406}" enabled="1" method="Standard" siteId="{c56a089c-7ef0-4fcb-b7eb-3858330142e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PESTA</vt:lpstr>
      <vt:lpstr>CANVAS</vt:lpstr>
      <vt:lpstr>COSTEO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DILAN SNEIDEER AGUIRRE DIAZ</dc:creator>
  <cp:keywords/>
  <dc:description/>
  <cp:lastModifiedBy>MARIANA PATARROYO PRIETO</cp:lastModifiedBy>
  <cp:revision/>
  <dcterms:created xsi:type="dcterms:W3CDTF">2026-04-19T17:42:32Z</dcterms:created>
  <dcterms:modified xsi:type="dcterms:W3CDTF">2026-04-20T22:06:47Z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0x0101005606C1C9C28943489DE8934C06CFACE9</vt:lpwstr>
  </property>
</Properties>
</file>