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sumen Ejecutivo" sheetId="1" state="visible" r:id="rId1"/>
    <sheet xmlns:r="http://schemas.openxmlformats.org/officeDocument/2006/relationships" name="2. Analisis PESTA" sheetId="2" state="visible" r:id="rId2"/>
    <sheet xmlns:r="http://schemas.openxmlformats.org/officeDocument/2006/relationships" name="3. Modelo Canvas" sheetId="3" state="visible" r:id="rId3"/>
    <sheet xmlns:r="http://schemas.openxmlformats.org/officeDocument/2006/relationships" name="3.1 Canvas Resumido" sheetId="4" state="visible" r:id="rId4"/>
    <sheet xmlns:r="http://schemas.openxmlformats.org/officeDocument/2006/relationships" name="4. Costeo Financiero" sheetId="5" state="visible" r:id="rId5"/>
    <sheet xmlns:r="http://schemas.openxmlformats.org/officeDocument/2006/relationships" name="5. Detalle del Aparato" sheetId="6" state="visible" r:id="rId6"/>
    <sheet xmlns:r="http://schemas.openxmlformats.org/officeDocument/2006/relationships" name="6. Fuentes" sheetId="7" state="visible" r:id="rId7"/>
  </sheets>
  <definedNames>
    <definedName name="_xlnm.Print_Area" localSheetId="0">'1. Resumen Ejecutivo'!$A$1:$H$109</definedName>
    <definedName name="_xlnm.Print_Area" localSheetId="1">'2. Analisis PESTA'!$A$1:$H$104</definedName>
    <definedName name="_xlnm.Print_Area" localSheetId="2">'3. Modelo Canvas'!$A$1:$L$103</definedName>
    <definedName name="_xlnm.Print_Area" localSheetId="3">'3.1 Canvas Resumido'!$A$1:$L$84</definedName>
    <definedName name="_xlnm.Print_Area" localSheetId="4">'4. Costeo Financiero'!$A$1:$G$279</definedName>
    <definedName name="_xlnm.Print_Area" localSheetId="5">'5. Detalle del Aparato'!$A$1:$G$163</definedName>
    <definedName name="_xlnm.Print_Area" localSheetId="6">'6. Fuentes'!$A$1:$G$79</definedName>
  </definedNames>
  <calcPr calcId="124519" fullCalcOnLoad="1"/>
</workbook>
</file>

<file path=xl/styles.xml><?xml version="1.0" encoding="utf-8"?>
<styleSheet xmlns="http://schemas.openxmlformats.org/spreadsheetml/2006/main">
  <numFmts count="3">
    <numFmt numFmtId="164" formatCode="0.0%"/>
    <numFmt numFmtId="165" formatCode="&quot;$&quot;#,##0"/>
    <numFmt numFmtId="166" formatCode="#,##0.0"/>
  </numFmts>
  <fonts count="52">
    <font>
      <name val="Calibri"/>
      <family val="2"/>
      <color theme="1"/>
      <sz val="11"/>
      <scheme val="minor"/>
    </font>
    <font>
      <name val="Segoe UI"/>
      <b val="1"/>
      <color rgb="00FFFFFF"/>
      <sz val="18"/>
    </font>
    <font>
      <name val="Segoe UI"/>
      <color rgb="00E6F0EB"/>
      <sz val="10"/>
    </font>
    <font>
      <name val="Segoe UI"/>
      <i val="1"/>
      <color rgb="005B6770"/>
      <sz val="9"/>
    </font>
    <font>
      <name val="Segoe UI"/>
      <b val="1"/>
      <color rgb="0013342C"/>
      <sz val="11"/>
    </font>
    <font>
      <name val="Segoe UI"/>
      <b val="1"/>
      <color rgb="0013342C"/>
      <sz val="15"/>
    </font>
    <font>
      <name val="Segoe UI"/>
      <color rgb="005B6770"/>
      <sz val="9"/>
    </font>
    <font>
      <name val="Segoe UI"/>
      <b val="1"/>
      <color rgb="002B4459"/>
      <sz val="15"/>
    </font>
    <font>
      <name val="Segoe UI"/>
      <b val="1"/>
      <color rgb="00A8802C"/>
      <sz val="15"/>
    </font>
    <font>
      <name val="Segoe UI"/>
      <b val="1"/>
      <color rgb="00FFFFFF"/>
      <sz val="12"/>
    </font>
    <font>
      <name val="Segoe UI"/>
      <color rgb="001F2933"/>
      <sz val="10"/>
    </font>
    <font>
      <name val="Segoe UI"/>
      <b val="1"/>
      <color rgb="009C4A2F"/>
      <sz val="10"/>
    </font>
    <font>
      <name val="Segoe UI"/>
      <color rgb="001F2933"/>
      <sz val="9"/>
    </font>
    <font>
      <name val="Segoe UI"/>
      <b val="1"/>
      <color rgb="00FFFFFF"/>
      <sz val="10"/>
    </font>
    <font>
      <name val="Segoe UI"/>
      <b val="1"/>
      <color rgb="001F2933"/>
      <sz val="9.5"/>
    </font>
    <font>
      <name val="Segoe UI"/>
      <color rgb="001F2933"/>
      <sz val="9.5"/>
    </font>
    <font>
      <name val="Segoe UI"/>
      <b val="1"/>
      <color rgb="002B4459"/>
      <sz val="10"/>
    </font>
    <font>
      <name val="Segoe UI"/>
      <b val="1"/>
      <color rgb="001F5C4D"/>
      <sz val="10"/>
    </font>
    <font>
      <name val="Segoe UI"/>
      <b val="1"/>
      <color rgb="00A8802C"/>
      <sz val="10"/>
    </font>
    <font>
      <name val="Segoe UI"/>
      <i val="1"/>
      <color rgb="005B6770"/>
      <sz val="9.5"/>
    </font>
    <font>
      <name val="Segoe UI"/>
      <b val="1"/>
      <color rgb="001F3D5C"/>
      <sz val="9.5"/>
    </font>
    <font>
      <name val="Segoe UI"/>
      <b val="1"/>
      <color rgb="002E7D68"/>
      <sz val="9.5"/>
    </font>
    <font>
      <name val="Segoe UI"/>
      <b val="1"/>
      <color rgb="009C4A2F"/>
      <sz val="9.5"/>
    </font>
    <font>
      <name val="Segoe UI"/>
      <b val="1"/>
      <color rgb="006B4E16"/>
      <sz val="9.5"/>
    </font>
    <font>
      <name val="Segoe UI"/>
      <b val="1"/>
      <color rgb="006B2D4A"/>
      <sz val="9.5"/>
    </font>
    <font>
      <name val="Segoe UI"/>
      <b val="1"/>
      <color rgb="001F4E5C"/>
      <sz val="9.5"/>
    </font>
    <font>
      <name val="Segoe UI"/>
      <b val="1"/>
      <color rgb="001F5C4D"/>
      <sz val="9.5"/>
    </font>
    <font>
      <name val="Segoe UI"/>
      <color rgb="001F3D5C"/>
      <sz val="9.5"/>
    </font>
    <font>
      <name val="Segoe UI"/>
      <color rgb="005B6770"/>
      <sz val="9.5"/>
    </font>
    <font>
      <name val="Segoe UI"/>
      <color rgb="006B4E16"/>
      <sz val="9.5"/>
    </font>
    <font>
      <name val="Segoe UI"/>
      <color rgb="006B2D4A"/>
      <sz val="9.5"/>
    </font>
    <font>
      <name val="Segoe UI"/>
      <color rgb="001F4E5C"/>
      <sz val="9.5"/>
    </font>
    <font>
      <name val="Segoe UI"/>
      <color rgb="001F5C4D"/>
      <sz val="9.5"/>
    </font>
    <font>
      <name val="Segoe UI"/>
      <color rgb="001F2933"/>
      <sz val="8.5"/>
    </font>
    <font>
      <name val="Segoe UI"/>
      <b val="1"/>
      <color rgb="002B4459"/>
      <sz val="9.5"/>
    </font>
    <font>
      <name val="Segoe UI"/>
      <b val="1"/>
      <color rgb="0013342C"/>
      <sz val="9.5"/>
    </font>
    <font>
      <name val="Segoe UI"/>
      <b val="1"/>
      <color rgb="009C4A2F"/>
      <sz val="11"/>
    </font>
    <font>
      <name val="Segoe UI"/>
      <color rgb="009C4A2F"/>
      <sz val="9.5"/>
    </font>
    <font>
      <name val="Segoe UI"/>
      <b val="1"/>
      <color rgb="00FFFFFF"/>
      <sz val="10.5"/>
    </font>
    <font>
      <name val="Segoe UI"/>
      <color rgb="00FFFFFF"/>
      <sz val="9"/>
    </font>
    <font>
      <name val="Segoe UI"/>
      <b val="1"/>
      <color rgb="001F2933"/>
      <sz val="10"/>
    </font>
    <font>
      <name val="Segoe UI"/>
      <b val="1"/>
      <color rgb="002E7D68"/>
      <sz val="10"/>
    </font>
    <font>
      <name val="Segoe UI"/>
      <color rgb="0013342C"/>
      <sz val="9.5"/>
    </font>
    <font>
      <name val="Segoe UI"/>
      <b val="1"/>
      <color rgb="005B6770"/>
      <sz val="9.5"/>
    </font>
    <font>
      <name val="Segoe UI"/>
      <b val="1"/>
      <color rgb="002B4459"/>
      <sz val="11"/>
    </font>
    <font>
      <name val="Segoe UI"/>
      <b val="1"/>
      <color rgb="00A8802C"/>
      <sz val="11"/>
    </font>
    <font>
      <name val="Segoe UI"/>
      <b val="1"/>
      <color rgb="00A8802C"/>
      <sz val="9.5"/>
    </font>
    <font>
      <name val="Segoe UI"/>
      <b val="1"/>
      <color rgb="001F5C4D"/>
      <sz val="11"/>
    </font>
    <font>
      <name val="Segoe UI"/>
      <b val="1"/>
      <color rgb="005B6770"/>
      <sz val="10"/>
    </font>
    <font>
      <name val="Segoe UI"/>
      <b val="1"/>
      <color rgb="001F2933"/>
      <sz val="9"/>
    </font>
    <font>
      <name val="Segoe UI"/>
      <color rgb="00A8802C"/>
      <sz val="9.5"/>
    </font>
    <font>
      <name val="Segoe UI"/>
      <color rgb="002B4459"/>
      <sz val="9.5"/>
    </font>
  </fonts>
  <fills count="24">
    <fill>
      <patternFill/>
    </fill>
    <fill>
      <patternFill patternType="gray125"/>
    </fill>
    <fill>
      <patternFill patternType="solid">
        <fgColor rgb="0013342C"/>
      </patternFill>
    </fill>
    <fill>
      <patternFill patternType="solid">
        <fgColor rgb="001F5C4D"/>
      </patternFill>
    </fill>
    <fill>
      <patternFill patternType="solid">
        <fgColor rgb="00E6F0EB"/>
      </patternFill>
    </fill>
    <fill>
      <patternFill patternType="solid">
        <fgColor rgb="00EAF0F5"/>
      </patternFill>
    </fill>
    <fill>
      <patternFill patternType="solid">
        <fgColor rgb="00FBF3E2"/>
      </patternFill>
    </fill>
    <fill>
      <patternFill patternType="solid">
        <fgColor rgb="00FBEDE8"/>
      </patternFill>
    </fill>
    <fill>
      <patternFill patternType="solid">
        <fgColor rgb="002E7D68"/>
      </patternFill>
    </fill>
    <fill>
      <patternFill patternType="solid">
        <fgColor rgb="00FFFFFF"/>
      </patternFill>
    </fill>
    <fill>
      <patternFill patternType="solid">
        <fgColor rgb="00F3F8F6"/>
      </patternFill>
    </fill>
    <fill>
      <patternFill patternType="solid">
        <fgColor rgb="00FAFBFA"/>
      </patternFill>
    </fill>
    <fill>
      <patternFill patternType="solid">
        <fgColor rgb="001F3D5C"/>
      </patternFill>
    </fill>
    <fill>
      <patternFill patternType="solid">
        <fgColor rgb="00E8EEF4"/>
      </patternFill>
    </fill>
    <fill>
      <patternFill patternType="solid">
        <fgColor rgb="006B4E16"/>
      </patternFill>
    </fill>
    <fill>
      <patternFill patternType="solid">
        <fgColor rgb="006B2D4A"/>
      </patternFill>
    </fill>
    <fill>
      <patternFill patternType="solid">
        <fgColor rgb="00F7EAF0"/>
      </patternFill>
    </fill>
    <fill>
      <patternFill patternType="solid">
        <fgColor rgb="001F4E5C"/>
      </patternFill>
    </fill>
    <fill>
      <patternFill patternType="solid">
        <fgColor rgb="00E4F0F2"/>
      </patternFill>
    </fill>
    <fill>
      <patternFill patternType="solid">
        <fgColor rgb="002B4459"/>
      </patternFill>
    </fill>
    <fill>
      <patternFill patternType="solid">
        <fgColor rgb="00A8802C"/>
      </patternFill>
    </fill>
    <fill>
      <patternFill patternType="solid">
        <fgColor rgb="009C4A2F"/>
      </patternFill>
    </fill>
    <fill>
      <patternFill patternType="solid">
        <fgColor rgb="00E6EBE8"/>
      </patternFill>
    </fill>
    <fill>
      <patternFill patternType="solid">
        <fgColor rgb="005B6770"/>
      </patternFill>
    </fill>
  </fills>
  <borders count="47">
    <border>
      <left/>
      <right/>
      <top/>
      <bottom/>
      <diagonal/>
    </border>
    <border>
      <left style="thin">
        <color rgb="00D2DAD6"/>
      </left>
      <right style="thin">
        <color rgb="00D2DAD6"/>
      </right>
      <top style="thin">
        <color rgb="00D2DAD6"/>
      </top>
    </border>
    <border>
      <left style="thin">
        <color rgb="00D2DAD6"/>
      </left>
      <right style="thin">
        <color rgb="00D2DAD6"/>
      </right>
      <bottom style="thin">
        <color rgb="00D2DAD6"/>
      </bottom>
    </border>
    <border>
      <left style="medium">
        <color rgb="009C4A2F"/>
      </left>
      <right style="thin">
        <color rgb="00D2DAD6"/>
      </right>
      <top style="thin">
        <color rgb="00D2DAD6"/>
      </top>
    </border>
    <border>
      <left style="medium">
        <color rgb="009C4A2F"/>
      </left>
      <right style="thin">
        <color rgb="00D2DAD6"/>
      </right>
      <bottom style="thin">
        <color rgb="00D2DAD6"/>
      </bottom>
    </border>
    <border>
      <left style="thin">
        <color rgb="002E7D68"/>
      </left>
      <right style="thin">
        <color rgb="002E7D68"/>
      </right>
      <top style="thin">
        <color rgb="002E7D68"/>
      </top>
      <bottom style="medium">
        <color rgb="0013342C"/>
      </bottom>
    </border>
    <border>
      <left style="thin">
        <color rgb="00D2DAD6"/>
      </left>
      <right style="thin">
        <color rgb="00D2DAD6"/>
      </right>
      <top style="thin">
        <color rgb="00D2DAD6"/>
      </top>
      <bottom style="thin">
        <color rgb="00D2DAD6"/>
      </bottom>
    </border>
    <border>
      <left style="medium">
        <color rgb="002B4459"/>
      </left>
      <right style="thin">
        <color rgb="00D2DAD6"/>
      </right>
      <top style="thin">
        <color rgb="00D2DAD6"/>
      </top>
    </border>
    <border>
      <left style="medium">
        <color rgb="002B4459"/>
      </left>
      <right style="thin">
        <color rgb="00D2DAD6"/>
      </right>
      <bottom style="thin">
        <color rgb="00D2DAD6"/>
      </bottom>
    </border>
    <border>
      <left style="medium">
        <color rgb="001F5C4D"/>
      </left>
      <right style="thin">
        <color rgb="00D2DAD6"/>
      </right>
      <top style="thin">
        <color rgb="00D2DAD6"/>
      </top>
    </border>
    <border>
      <left style="medium">
        <color rgb="001F5C4D"/>
      </left>
      <right style="thin">
        <color rgb="00D2DAD6"/>
      </right>
      <bottom style="thin">
        <color rgb="00D2DAD6"/>
      </bottom>
    </border>
    <border>
      <left style="medium">
        <color rgb="00A8802C"/>
      </left>
      <right style="thin">
        <color rgb="00D2DAD6"/>
      </right>
      <top style="thin">
        <color rgb="00D2DAD6"/>
      </top>
    </border>
    <border>
      <left style="medium">
        <color rgb="00A8802C"/>
      </left>
      <right style="thin">
        <color rgb="00D2DAD6"/>
      </right>
      <bottom style="thin">
        <color rgb="00D2DAD6"/>
      </bottom>
    </border>
    <border>
      <left style="thin">
        <color rgb="001F3D5C"/>
      </left>
      <right style="thin">
        <color rgb="001F3D5C"/>
      </right>
      <top style="thin">
        <color rgb="001F3D5C"/>
      </top>
      <bottom style="medium">
        <color rgb="0013342C"/>
      </bottom>
    </border>
    <border>
      <left style="thin">
        <color rgb="006B4E16"/>
      </left>
      <right style="thin">
        <color rgb="006B4E16"/>
      </right>
      <top style="thin">
        <color rgb="006B4E16"/>
      </top>
      <bottom style="medium">
        <color rgb="0013342C"/>
      </bottom>
    </border>
    <border>
      <left style="thin">
        <color rgb="006B2D4A"/>
      </left>
      <right style="thin">
        <color rgb="006B2D4A"/>
      </right>
      <top style="thin">
        <color rgb="006B2D4A"/>
      </top>
      <bottom style="medium">
        <color rgb="0013342C"/>
      </bottom>
    </border>
    <border>
      <left style="thin">
        <color rgb="001F4E5C"/>
      </left>
      <right style="thin">
        <color rgb="001F4E5C"/>
      </right>
      <top style="thin">
        <color rgb="001F4E5C"/>
      </top>
      <bottom style="medium">
        <color rgb="0013342C"/>
      </bottom>
    </border>
    <border>
      <left style="thin">
        <color rgb="001F5C4D"/>
      </left>
      <right style="thin">
        <color rgb="001F5C4D"/>
      </right>
      <top style="thin">
        <color rgb="001F5C4D"/>
      </top>
      <bottom style="medium">
        <color rgb="0013342C"/>
      </bottom>
    </border>
    <border>
      <left style="thin">
        <color rgb="00FFFFFF"/>
      </left>
      <right style="thin">
        <color rgb="00FFFFFF"/>
      </right>
      <top style="thin">
        <color rgb="00FFFFFF"/>
      </top>
    </border>
    <border>
      <left style="thin">
        <color rgb="00FFFFFF"/>
      </left>
      <right style="thin">
        <color rgb="00FFFFFF"/>
      </right>
      <bottom style="thin">
        <color rgb="00FFFFFF"/>
      </bottom>
    </border>
    <border>
      <left style="thin">
        <color rgb="002B4459"/>
      </left>
      <right style="thin">
        <color rgb="002B4459"/>
      </right>
      <top style="thin">
        <color rgb="002B4459"/>
      </top>
      <bottom style="medium">
        <color rgb="0013342C"/>
      </bottom>
    </border>
    <border>
      <left/>
      <right/>
      <top style="thin">
        <color rgb="002B4459"/>
      </top>
      <bottom/>
      <diagonal/>
    </border>
    <border>
      <left/>
      <right style="thin">
        <color rgb="002B4459"/>
      </right>
      <top style="thin">
        <color rgb="002B4459"/>
      </top>
      <bottom/>
      <diagonal/>
    </border>
    <border>
      <left/>
      <right style="thin">
        <color rgb="002B4459"/>
      </right>
      <top style="thin">
        <color rgb="002B4459"/>
      </top>
      <bottom style="medium">
        <color rgb="0013342C"/>
      </bottom>
      <diagonal/>
    </border>
    <border>
      <left/>
      <right/>
      <top style="thin">
        <color rgb="00D2DAD6"/>
      </top>
      <bottom/>
      <diagonal/>
    </border>
    <border>
      <left/>
      <right style="thin">
        <color rgb="00D2DAD6"/>
      </right>
      <top style="thin">
        <color rgb="00D2DAD6"/>
      </top>
      <bottom/>
      <diagonal/>
    </border>
    <border>
      <left/>
      <right style="thin">
        <color rgb="00D2DAD6"/>
      </right>
      <top style="thin">
        <color rgb="00D2DAD6"/>
      </top>
      <bottom style="thin">
        <color rgb="00D2DAD6"/>
      </bottom>
      <diagonal/>
    </border>
    <border>
      <left/>
      <right/>
      <top style="thin">
        <color rgb="002E7D68"/>
      </top>
      <bottom/>
      <diagonal/>
    </border>
    <border>
      <left/>
      <right style="thin">
        <color rgb="002E7D68"/>
      </right>
      <top style="thin">
        <color rgb="002E7D68"/>
      </top>
      <bottom/>
      <diagonal/>
    </border>
    <border>
      <left/>
      <right style="thin">
        <color rgb="002E7D68"/>
      </right>
      <top style="thin">
        <color rgb="002E7D68"/>
      </top>
      <bottom style="medium">
        <color rgb="0013342C"/>
      </bottom>
      <diagonal/>
    </border>
    <border>
      <left style="thin">
        <color rgb="009C4A2F"/>
      </left>
      <right style="thin">
        <color rgb="009C4A2F"/>
      </right>
      <top style="thin">
        <color rgb="009C4A2F"/>
      </top>
      <bottom style="medium">
        <color rgb="0013342C"/>
      </bottom>
    </border>
    <border>
      <left/>
      <right/>
      <top style="thin">
        <color rgb="009C4A2F"/>
      </top>
      <bottom/>
      <diagonal/>
    </border>
    <border>
      <left/>
      <right style="thin">
        <color rgb="009C4A2F"/>
      </right>
      <top style="thin">
        <color rgb="009C4A2F"/>
      </top>
      <bottom/>
      <diagonal/>
    </border>
    <border>
      <left/>
      <right style="thin">
        <color rgb="009C4A2F"/>
      </right>
      <top style="thin">
        <color rgb="009C4A2F"/>
      </top>
      <bottom style="medium">
        <color rgb="0013342C"/>
      </bottom>
      <diagonal/>
    </border>
    <border>
      <left style="thin">
        <color rgb="0013342C"/>
      </left>
      <right style="thin">
        <color rgb="0013342C"/>
      </right>
      <top style="thin">
        <color rgb="0013342C"/>
      </top>
      <bottom style="medium">
        <color rgb="0013342C"/>
      </bottom>
    </border>
    <border>
      <left/>
      <right/>
      <top style="thin">
        <color rgb="0013342C"/>
      </top>
      <bottom/>
      <diagonal/>
    </border>
    <border>
      <left/>
      <right style="thin">
        <color rgb="0013342C"/>
      </right>
      <top style="thin">
        <color rgb="0013342C"/>
      </top>
      <bottom/>
      <diagonal/>
    </border>
    <border>
      <left/>
      <right style="thin">
        <color rgb="0013342C"/>
      </right>
      <top style="thin">
        <color rgb="0013342C"/>
      </top>
      <bottom style="medium">
        <color rgb="0013342C"/>
      </bottom>
      <diagonal/>
    </border>
    <border>
      <left style="thin">
        <color rgb="00A8802C"/>
      </left>
      <right style="thin">
        <color rgb="00A8802C"/>
      </right>
      <top style="thin">
        <color rgb="00A8802C"/>
      </top>
      <bottom style="medium">
        <color rgb="0013342C"/>
      </bottom>
    </border>
    <border>
      <left/>
      <right/>
      <top style="thin">
        <color rgb="00A8802C"/>
      </top>
      <bottom/>
      <diagonal/>
    </border>
    <border>
      <left/>
      <right style="thin">
        <color rgb="00A8802C"/>
      </right>
      <top style="thin">
        <color rgb="00A8802C"/>
      </top>
      <bottom/>
      <diagonal/>
    </border>
    <border>
      <left/>
      <right style="thin">
        <color rgb="00A8802C"/>
      </right>
      <top style="thin">
        <color rgb="00A8802C"/>
      </top>
      <bottom style="medium">
        <color rgb="0013342C"/>
      </bottom>
      <diagonal/>
    </border>
    <border>
      <left/>
      <right/>
      <top style="thin">
        <color rgb="001F5C4D"/>
      </top>
      <bottom/>
      <diagonal/>
    </border>
    <border>
      <left/>
      <right style="thin">
        <color rgb="001F5C4D"/>
      </right>
      <top style="thin">
        <color rgb="001F5C4D"/>
      </top>
      <bottom/>
      <diagonal/>
    </border>
    <border>
      <left/>
      <right style="thin">
        <color rgb="001F5C4D"/>
      </right>
      <top style="thin">
        <color rgb="001F5C4D"/>
      </top>
      <bottom style="medium">
        <color rgb="0013342C"/>
      </bottom>
      <diagonal/>
    </border>
    <border>
      <left style="medium">
        <color rgb="005B6770"/>
      </left>
      <right style="thin">
        <color rgb="00D2DAD6"/>
      </right>
      <top style="thin">
        <color rgb="00D2DAD6"/>
      </top>
    </border>
    <border>
      <left style="medium">
        <color rgb="005B6770"/>
      </left>
      <right style="thin">
        <color rgb="00D2DAD6"/>
      </right>
      <bottom style="thin">
        <color rgb="00D2DAD6"/>
      </bottom>
    </border>
  </borders>
  <cellStyleXfs count="1">
    <xf numFmtId="0" fontId="0" fillId="0" borderId="0"/>
  </cellStyleXfs>
  <cellXfs count="233">
    <xf numFmtId="0" fontId="0" fillId="0" borderId="0" pivotButton="0" quotePrefix="0" xfId="0"/>
    <xf numFmtId="0" fontId="0" fillId="11"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11" borderId="0" applyAlignment="1" pivotButton="0" quotePrefix="0" xfId="0">
      <alignment horizontal="justify" vertical="top" wrapText="1" indent="1"/>
    </xf>
    <xf numFmtId="0" fontId="4" fillId="11" borderId="0" applyAlignment="1" pivotButton="0" quotePrefix="0" xfId="0">
      <alignment horizontal="left" vertical="center" indent="1"/>
    </xf>
    <xf numFmtId="164" fontId="5" fillId="4" borderId="1" applyAlignment="1" pivotButton="0" quotePrefix="0" xfId="0">
      <alignment horizontal="center" vertical="center"/>
    </xf>
    <xf numFmtId="9" fontId="5" fillId="4" borderId="1" applyAlignment="1" pivotButton="0" quotePrefix="0" xfId="0">
      <alignment horizontal="center" vertical="center"/>
    </xf>
    <xf numFmtId="3" fontId="7" fillId="5" borderId="1" applyAlignment="1" pivotButton="0" quotePrefix="0" xfId="0">
      <alignment horizontal="center" vertical="center"/>
    </xf>
    <xf numFmtId="165" fontId="7" fillId="5" borderId="1" applyAlignment="1" pivotButton="0" quotePrefix="0" xfId="0">
      <alignment horizontal="center" vertical="center"/>
    </xf>
    <xf numFmtId="165" fontId="8" fillId="6" borderId="1" applyAlignment="1" pivotButton="0" quotePrefix="0" xfId="0">
      <alignment horizontal="center" vertical="center"/>
    </xf>
    <xf numFmtId="0" fontId="6" fillId="4" borderId="2" applyAlignment="1" pivotButton="0" quotePrefix="0" xfId="0">
      <alignment horizontal="center" vertical="top" wrapText="1"/>
    </xf>
    <xf numFmtId="0" fontId="6" fillId="5" borderId="2" applyAlignment="1" pivotButton="0" quotePrefix="0" xfId="0">
      <alignment horizontal="center" vertical="top" wrapText="1"/>
    </xf>
    <xf numFmtId="0" fontId="6" fillId="6" borderId="2" applyAlignment="1" pivotButton="0" quotePrefix="0" xfId="0">
      <alignment horizontal="center" vertical="top" wrapText="1"/>
    </xf>
    <xf numFmtId="0" fontId="9" fillId="3" borderId="0" applyAlignment="1" pivotButton="0" quotePrefix="0" xfId="0">
      <alignment horizontal="left" vertical="center" indent="1"/>
    </xf>
    <xf numFmtId="0" fontId="10" fillId="11" borderId="0" applyAlignment="1" pivotButton="0" quotePrefix="0" xfId="0">
      <alignment horizontal="justify" vertical="top" wrapText="1" indent="1"/>
    </xf>
    <xf numFmtId="0" fontId="11" fillId="7" borderId="3" applyAlignment="1" pivotButton="0" quotePrefix="0" xfId="0">
      <alignment horizontal="left" vertical="center" indent="1"/>
    </xf>
    <xf numFmtId="0" fontId="12" fillId="7" borderId="4" applyAlignment="1" pivotButton="0" quotePrefix="0" xfId="0">
      <alignment horizontal="justify" vertical="top" wrapText="1" indent="1"/>
    </xf>
    <xf numFmtId="0" fontId="13" fillId="8" borderId="5" applyAlignment="1" pivotButton="0" quotePrefix="0" xfId="0">
      <alignment horizontal="center" vertical="center" wrapText="1"/>
    </xf>
    <xf numFmtId="0" fontId="14" fillId="9" borderId="6" applyAlignment="1" pivotButton="0" quotePrefix="0" xfId="0">
      <alignment horizontal="left" vertical="top" wrapText="1" indent="1"/>
    </xf>
    <xf numFmtId="0" fontId="15" fillId="9" borderId="6" applyAlignment="1" pivotButton="0" quotePrefix="0" xfId="0">
      <alignment horizontal="left" vertical="top" wrapText="1" indent="1"/>
    </xf>
    <xf numFmtId="0" fontId="14" fillId="10" borderId="6" applyAlignment="1" pivotButton="0" quotePrefix="0" xfId="0">
      <alignment horizontal="left" vertical="top" wrapText="1" indent="1"/>
    </xf>
    <xf numFmtId="0" fontId="15" fillId="10" borderId="6" applyAlignment="1" pivotButton="0" quotePrefix="0" xfId="0">
      <alignment horizontal="left" vertical="top" wrapText="1" indent="1"/>
    </xf>
    <xf numFmtId="0" fontId="16" fillId="5" borderId="7" applyAlignment="1" pivotButton="0" quotePrefix="0" xfId="0">
      <alignment horizontal="left" vertical="center" indent="1"/>
    </xf>
    <xf numFmtId="0" fontId="15" fillId="5" borderId="8" applyAlignment="1" pivotButton="0" quotePrefix="0" xfId="0">
      <alignment horizontal="justify" vertical="top" wrapText="1" indent="1"/>
    </xf>
    <xf numFmtId="0" fontId="17" fillId="4" borderId="9" applyAlignment="1" pivotButton="0" quotePrefix="0" xfId="0">
      <alignment horizontal="left" vertical="center" indent="1"/>
    </xf>
    <xf numFmtId="0" fontId="12" fillId="4" borderId="10" applyAlignment="1" pivotButton="0" quotePrefix="0" xfId="0">
      <alignment horizontal="justify" vertical="top" wrapText="1" indent="1"/>
    </xf>
    <xf numFmtId="165" fontId="14" fillId="9" borderId="6" applyAlignment="1" pivotButton="0" quotePrefix="0" xfId="0">
      <alignment horizontal="right" vertical="center" wrapText="1"/>
    </xf>
    <xf numFmtId="165" fontId="14" fillId="10" borderId="6" applyAlignment="1" pivotButton="0" quotePrefix="0" xfId="0">
      <alignment horizontal="right" vertical="center" wrapText="1"/>
    </xf>
    <xf numFmtId="0" fontId="18" fillId="6" borderId="11" applyAlignment="1" pivotButton="0" quotePrefix="0" xfId="0">
      <alignment horizontal="left" vertical="center" indent="1"/>
    </xf>
    <xf numFmtId="0" fontId="12" fillId="6" borderId="12" applyAlignment="1" pivotButton="0" quotePrefix="0" xfId="0">
      <alignment horizontal="justify" vertical="top" wrapText="1" indent="1"/>
    </xf>
    <xf numFmtId="0" fontId="19" fillId="11" borderId="0" applyAlignment="1" pivotButton="0" quotePrefix="0" xfId="0">
      <alignment horizontal="justify" vertical="top" wrapText="1" indent="1"/>
    </xf>
    <xf numFmtId="0" fontId="20" fillId="9" borderId="6" applyAlignment="1" pivotButton="0" quotePrefix="0" xfId="0">
      <alignment horizontal="left" vertical="top" wrapText="1" indent="1"/>
    </xf>
    <xf numFmtId="0" fontId="14" fillId="9" borderId="6" applyAlignment="1" pivotButton="0" quotePrefix="0" xfId="0">
      <alignment horizontal="center" vertical="center" wrapText="1"/>
    </xf>
    <xf numFmtId="0" fontId="21" fillId="9" borderId="6" applyAlignment="1" pivotButton="0" quotePrefix="0" xfId="0">
      <alignment horizontal="center" vertical="center" wrapText="1"/>
    </xf>
    <xf numFmtId="0" fontId="22" fillId="9" borderId="6" applyAlignment="1" pivotButton="0" quotePrefix="0" xfId="0">
      <alignment horizontal="center" vertical="center" wrapText="1"/>
    </xf>
    <xf numFmtId="0" fontId="23" fillId="10" borderId="6" applyAlignment="1" pivotButton="0" quotePrefix="0" xfId="0">
      <alignment horizontal="left" vertical="top" wrapText="1" indent="1"/>
    </xf>
    <xf numFmtId="0" fontId="14" fillId="10" borderId="6" applyAlignment="1" pivotButton="0" quotePrefix="0" xfId="0">
      <alignment horizontal="center" vertical="center" wrapText="1"/>
    </xf>
    <xf numFmtId="0" fontId="21" fillId="10" borderId="6" applyAlignment="1" pivotButton="0" quotePrefix="0" xfId="0">
      <alignment horizontal="center" vertical="center" wrapText="1"/>
    </xf>
    <xf numFmtId="0" fontId="22" fillId="10" borderId="6" applyAlignment="1" pivotButton="0" quotePrefix="0" xfId="0">
      <alignment horizontal="center" vertical="center" wrapText="1"/>
    </xf>
    <xf numFmtId="0" fontId="24" fillId="9" borderId="6" applyAlignment="1" pivotButton="0" quotePrefix="0" xfId="0">
      <alignment horizontal="left" vertical="top" wrapText="1" indent="1"/>
    </xf>
    <xf numFmtId="0" fontId="25" fillId="10" borderId="6" applyAlignment="1" pivotButton="0" quotePrefix="0" xfId="0">
      <alignment horizontal="left" vertical="top" wrapText="1" indent="1"/>
    </xf>
    <xf numFmtId="0" fontId="26" fillId="9" borderId="6" applyAlignment="1" pivotButton="0" quotePrefix="0" xfId="0">
      <alignment horizontal="left" vertical="top" wrapText="1" indent="1"/>
    </xf>
    <xf numFmtId="0" fontId="9" fillId="12" borderId="0" applyAlignment="1" pivotButton="0" quotePrefix="0" xfId="0">
      <alignment horizontal="left" vertical="center" indent="1"/>
    </xf>
    <xf numFmtId="0" fontId="15" fillId="13" borderId="0" applyAlignment="1" pivotButton="0" quotePrefix="0" xfId="0">
      <alignment horizontal="justify" vertical="top" wrapText="1" indent="1"/>
    </xf>
    <xf numFmtId="0" fontId="13" fillId="12" borderId="13" applyAlignment="1" pivotButton="0" quotePrefix="0" xfId="0">
      <alignment horizontal="center" vertical="center" wrapText="1"/>
    </xf>
    <xf numFmtId="0" fontId="27" fillId="9" borderId="6" applyAlignment="1" pivotButton="0" quotePrefix="0" xfId="0">
      <alignment horizontal="left" vertical="top" wrapText="1" indent="1"/>
    </xf>
    <xf numFmtId="0" fontId="28" fillId="9" borderId="6" applyAlignment="1" pivotButton="0" quotePrefix="0" xfId="0">
      <alignment horizontal="left" vertical="top" wrapText="1" indent="1"/>
    </xf>
    <xf numFmtId="0" fontId="27" fillId="10" borderId="6" applyAlignment="1" pivotButton="0" quotePrefix="0" xfId="0">
      <alignment horizontal="left" vertical="top" wrapText="1" indent="1"/>
    </xf>
    <xf numFmtId="0" fontId="28" fillId="10" borderId="6" applyAlignment="1" pivotButton="0" quotePrefix="0" xfId="0">
      <alignment horizontal="left" vertical="top" wrapText="1" indent="1"/>
    </xf>
    <xf numFmtId="0" fontId="9" fillId="14" borderId="0" applyAlignment="1" pivotButton="0" quotePrefix="0" xfId="0">
      <alignment horizontal="left" vertical="center" indent="1"/>
    </xf>
    <xf numFmtId="0" fontId="15" fillId="6" borderId="0" applyAlignment="1" pivotButton="0" quotePrefix="0" xfId="0">
      <alignment horizontal="justify" vertical="top" wrapText="1" indent="1"/>
    </xf>
    <xf numFmtId="0" fontId="13" fillId="14" borderId="14" applyAlignment="1" pivotButton="0" quotePrefix="0" xfId="0">
      <alignment horizontal="center" vertical="center" wrapText="1"/>
    </xf>
    <xf numFmtId="0" fontId="29" fillId="9" borderId="6" applyAlignment="1" pivotButton="0" quotePrefix="0" xfId="0">
      <alignment horizontal="left" vertical="top" wrapText="1" indent="1"/>
    </xf>
    <xf numFmtId="0" fontId="29" fillId="10" borderId="6" applyAlignment="1" pivotButton="0" quotePrefix="0" xfId="0">
      <alignment horizontal="left" vertical="top" wrapText="1" indent="1"/>
    </xf>
    <xf numFmtId="0" fontId="9" fillId="15" borderId="0" applyAlignment="1" pivotButton="0" quotePrefix="0" xfId="0">
      <alignment horizontal="left" vertical="center" indent="1"/>
    </xf>
    <xf numFmtId="0" fontId="15" fillId="16" borderId="0" applyAlignment="1" pivotButton="0" quotePrefix="0" xfId="0">
      <alignment horizontal="justify" vertical="top" wrapText="1" indent="1"/>
    </xf>
    <xf numFmtId="0" fontId="13" fillId="15" borderId="15" applyAlignment="1" pivotButton="0" quotePrefix="0" xfId="0">
      <alignment horizontal="center" vertical="center" wrapText="1"/>
    </xf>
    <xf numFmtId="0" fontId="30" fillId="9" borderId="6" applyAlignment="1" pivotButton="0" quotePrefix="0" xfId="0">
      <alignment horizontal="left" vertical="top" wrapText="1" indent="1"/>
    </xf>
    <xf numFmtId="0" fontId="30" fillId="10" borderId="6" applyAlignment="1" pivotButton="0" quotePrefix="0" xfId="0">
      <alignment horizontal="left" vertical="top" wrapText="1" indent="1"/>
    </xf>
    <xf numFmtId="0" fontId="9" fillId="17" borderId="0" applyAlignment="1" pivotButton="0" quotePrefix="0" xfId="0">
      <alignment horizontal="left" vertical="center" indent="1"/>
    </xf>
    <xf numFmtId="0" fontId="15" fillId="18" borderId="0" applyAlignment="1" pivotButton="0" quotePrefix="0" xfId="0">
      <alignment horizontal="justify" vertical="top" wrapText="1" indent="1"/>
    </xf>
    <xf numFmtId="0" fontId="13" fillId="17" borderId="16" applyAlignment="1" pivotButton="0" quotePrefix="0" xfId="0">
      <alignment horizontal="center" vertical="center" wrapText="1"/>
    </xf>
    <xf numFmtId="0" fontId="31" fillId="9" borderId="6" applyAlignment="1" pivotButton="0" quotePrefix="0" xfId="0">
      <alignment horizontal="left" vertical="top" wrapText="1" indent="1"/>
    </xf>
    <xf numFmtId="0" fontId="31" fillId="10" borderId="6" applyAlignment="1" pivotButton="0" quotePrefix="0" xfId="0">
      <alignment horizontal="left" vertical="top" wrapText="1" indent="1"/>
    </xf>
    <xf numFmtId="0" fontId="15" fillId="4" borderId="0" applyAlignment="1" pivotButton="0" quotePrefix="0" xfId="0">
      <alignment horizontal="justify" vertical="top" wrapText="1" indent="1"/>
    </xf>
    <xf numFmtId="0" fontId="13" fillId="3" borderId="17" applyAlignment="1" pivotButton="0" quotePrefix="0" xfId="0">
      <alignment horizontal="center" vertical="center" wrapText="1"/>
    </xf>
    <xf numFmtId="0" fontId="32" fillId="9" borderId="6" applyAlignment="1" pivotButton="0" quotePrefix="0" xfId="0">
      <alignment horizontal="left" vertical="top" wrapText="1" indent="1"/>
    </xf>
    <xf numFmtId="0" fontId="32" fillId="10" borderId="6" applyAlignment="1" pivotButton="0" quotePrefix="0" xfId="0">
      <alignment horizontal="left" vertical="top" wrapText="1" indent="1"/>
    </xf>
    <xf numFmtId="0" fontId="9" fillId="2" borderId="0" applyAlignment="1" pivotButton="0" quotePrefix="0" xfId="0">
      <alignment horizontal="left" vertical="center" indent="1"/>
    </xf>
    <xf numFmtId="0" fontId="15" fillId="4" borderId="10" applyAlignment="1" pivotButton="0" quotePrefix="0" xfId="0">
      <alignment horizontal="justify" vertical="top" wrapText="1" indent="1"/>
    </xf>
    <xf numFmtId="0" fontId="13" fillId="19" borderId="18" applyAlignment="1" pivotButton="0" quotePrefix="0" xfId="0">
      <alignment horizontal="left" vertical="center" indent="1"/>
    </xf>
    <xf numFmtId="0" fontId="13" fillId="3" borderId="18" applyAlignment="1" pivotButton="0" quotePrefix="0" xfId="0">
      <alignment horizontal="left" vertical="center" indent="1"/>
    </xf>
    <xf numFmtId="0" fontId="13" fillId="20" borderId="18" applyAlignment="1" pivotButton="0" quotePrefix="0" xfId="0">
      <alignment horizontal="left" vertical="center" indent="1"/>
    </xf>
    <xf numFmtId="0" fontId="13" fillId="15" borderId="18" applyAlignment="1" pivotButton="0" quotePrefix="0" xfId="0">
      <alignment horizontal="left" vertical="center" indent="1"/>
    </xf>
    <xf numFmtId="0" fontId="33" fillId="5" borderId="19" applyAlignment="1" pivotButton="0" quotePrefix="0" xfId="0">
      <alignment horizontal="left" vertical="top" wrapText="1" indent="1"/>
    </xf>
    <xf numFmtId="0" fontId="33" fillId="4" borderId="19" applyAlignment="1" pivotButton="0" quotePrefix="0" xfId="0">
      <alignment horizontal="left" vertical="top" wrapText="1" indent="1"/>
    </xf>
    <xf numFmtId="0" fontId="33" fillId="6" borderId="19" applyAlignment="1" pivotButton="0" quotePrefix="0" xfId="0">
      <alignment horizontal="left" vertical="top" wrapText="1" indent="1"/>
    </xf>
    <xf numFmtId="0" fontId="33" fillId="16" borderId="19" applyAlignment="1" pivotButton="0" quotePrefix="0" xfId="0">
      <alignment horizontal="left" vertical="top" wrapText="1" indent="1"/>
    </xf>
    <xf numFmtId="0" fontId="13" fillId="21" borderId="18" applyAlignment="1" pivotButton="0" quotePrefix="0" xfId="0">
      <alignment horizontal="left" vertical="center" indent="1"/>
    </xf>
    <xf numFmtId="0" fontId="13" fillId="8" borderId="18" applyAlignment="1" pivotButton="0" quotePrefix="0" xfId="0">
      <alignment horizontal="left" vertical="center" indent="1"/>
    </xf>
    <xf numFmtId="0" fontId="33" fillId="7" borderId="19" applyAlignment="1" pivotButton="0" quotePrefix="0" xfId="0">
      <alignment horizontal="left" vertical="top" wrapText="1" indent="1"/>
    </xf>
    <xf numFmtId="0" fontId="33" fillId="10" borderId="19" applyAlignment="1" pivotButton="0" quotePrefix="0" xfId="0">
      <alignment horizontal="left" vertical="top" wrapText="1" indent="1"/>
    </xf>
    <xf numFmtId="0" fontId="9" fillId="20" borderId="0" applyAlignment="1" pivotButton="0" quotePrefix="0" xfId="0">
      <alignment horizontal="left" vertical="center" indent="1"/>
    </xf>
    <xf numFmtId="0" fontId="9" fillId="19" borderId="0" applyAlignment="1" pivotButton="0" quotePrefix="0" xfId="0">
      <alignment horizontal="left" vertical="center" indent="1"/>
    </xf>
    <xf numFmtId="0" fontId="15" fillId="5" borderId="0" applyAlignment="1" pivotButton="0" quotePrefix="0" xfId="0">
      <alignment horizontal="justify" vertical="top" wrapText="1" indent="1"/>
    </xf>
    <xf numFmtId="0" fontId="9" fillId="8" borderId="0" applyAlignment="1" pivotButton="0" quotePrefix="0" xfId="0">
      <alignment horizontal="left" vertical="center" indent="1"/>
    </xf>
    <xf numFmtId="0" fontId="15" fillId="10" borderId="0" applyAlignment="1" pivotButton="0" quotePrefix="0" xfId="0">
      <alignment horizontal="justify" vertical="top" wrapText="1" indent="1"/>
    </xf>
    <xf numFmtId="0" fontId="9" fillId="21" borderId="0" applyAlignment="1" pivotButton="0" quotePrefix="0" xfId="0">
      <alignment horizontal="left" vertical="center" indent="1"/>
    </xf>
    <xf numFmtId="0" fontId="15" fillId="7" borderId="0" applyAlignment="1" pivotButton="0" quotePrefix="0" xfId="0">
      <alignment horizontal="justify" vertical="top" wrapText="1" indent="1"/>
    </xf>
    <xf numFmtId="0" fontId="13" fillId="19" borderId="20" applyAlignment="1" pivotButton="0" quotePrefix="0" xfId="0">
      <alignment horizontal="center" vertical="center" wrapText="1"/>
    </xf>
    <xf numFmtId="0" fontId="0" fillId="11" borderId="23" pivotButton="0" quotePrefix="0" xfId="0"/>
    <xf numFmtId="3" fontId="34" fillId="9" borderId="6" applyAlignment="1" pivotButton="0" quotePrefix="0" xfId="0">
      <alignment horizontal="right" vertical="center" wrapText="1"/>
    </xf>
    <xf numFmtId="0" fontId="0" fillId="11" borderId="26" pivotButton="0" quotePrefix="0" xfId="0"/>
    <xf numFmtId="4" fontId="34" fillId="10" borderId="6" applyAlignment="1" pivotButton="0" quotePrefix="0" xfId="0">
      <alignment horizontal="right" vertical="center" wrapText="1"/>
    </xf>
    <xf numFmtId="9" fontId="34" fillId="9" borderId="6" applyAlignment="1" pivotButton="0" quotePrefix="0" xfId="0">
      <alignment horizontal="right" vertical="center" wrapText="1"/>
    </xf>
    <xf numFmtId="3" fontId="34" fillId="10" borderId="6" applyAlignment="1" pivotButton="0" quotePrefix="0" xfId="0">
      <alignment horizontal="right" vertical="center" wrapText="1"/>
    </xf>
    <xf numFmtId="165" fontId="34" fillId="9" borderId="6" applyAlignment="1" pivotButton="0" quotePrefix="0" xfId="0">
      <alignment horizontal="right" vertical="center" wrapText="1"/>
    </xf>
    <xf numFmtId="165" fontId="34" fillId="10" borderId="6" applyAlignment="1" pivotButton="0" quotePrefix="0" xfId="0">
      <alignment horizontal="right" vertical="center" wrapText="1"/>
    </xf>
    <xf numFmtId="0" fontId="0" fillId="11" borderId="29" pivotButton="0" quotePrefix="0" xfId="0"/>
    <xf numFmtId="3" fontId="14" fillId="9" borderId="6" applyAlignment="1" pivotButton="0" quotePrefix="0" xfId="0">
      <alignment horizontal="right" vertical="center" wrapText="1"/>
    </xf>
    <xf numFmtId="0" fontId="14" fillId="4" borderId="6" applyAlignment="1" pivotButton="0" quotePrefix="0" xfId="0">
      <alignment horizontal="left" vertical="top" wrapText="1" indent="1"/>
    </xf>
    <xf numFmtId="0" fontId="15" fillId="4" borderId="6" applyAlignment="1" pivotButton="0" quotePrefix="0" xfId="0">
      <alignment horizontal="left" vertical="top" wrapText="1" indent="1"/>
    </xf>
    <xf numFmtId="3" fontId="35" fillId="4" borderId="6" applyAlignment="1" pivotButton="0" quotePrefix="0" xfId="0">
      <alignment horizontal="right" vertical="center" wrapText="1"/>
    </xf>
    <xf numFmtId="0" fontId="28" fillId="4" borderId="6" applyAlignment="1" pivotButton="0" quotePrefix="0" xfId="0">
      <alignment horizontal="left" vertical="top" wrapText="1" indent="1"/>
    </xf>
    <xf numFmtId="166" fontId="14" fillId="9" borderId="6" applyAlignment="1" pivotButton="0" quotePrefix="0" xfId="0">
      <alignment horizontal="right" vertical="center" wrapText="1"/>
    </xf>
    <xf numFmtId="0" fontId="36" fillId="11" borderId="0" applyAlignment="1" pivotButton="0" quotePrefix="0" xfId="0">
      <alignment horizontal="left" vertical="center" indent="1"/>
    </xf>
    <xf numFmtId="0" fontId="13" fillId="21" borderId="30" applyAlignment="1" pivotButton="0" quotePrefix="0" xfId="0">
      <alignment horizontal="center" vertical="center" wrapText="1"/>
    </xf>
    <xf numFmtId="0" fontId="0" fillId="11" borderId="33" pivotButton="0" quotePrefix="0" xfId="0"/>
    <xf numFmtId="0" fontId="22" fillId="22" borderId="6" applyAlignment="1" pivotButton="0" quotePrefix="0" xfId="0">
      <alignment horizontal="left" vertical="top" wrapText="1" indent="1"/>
    </xf>
    <xf numFmtId="0" fontId="37" fillId="22" borderId="6" applyAlignment="1" pivotButton="0" quotePrefix="0" xfId="0">
      <alignment horizontal="left" vertical="top" wrapText="1" indent="1"/>
    </xf>
    <xf numFmtId="0" fontId="22" fillId="7" borderId="6" applyAlignment="1" pivotButton="0" quotePrefix="0" xfId="0">
      <alignment horizontal="left" vertical="center" indent="1"/>
    </xf>
    <xf numFmtId="0" fontId="22" fillId="7" borderId="6" applyAlignment="1" pivotButton="0" quotePrefix="0" xfId="0">
      <alignment horizontal="right" vertical="center"/>
    </xf>
    <xf numFmtId="165" fontId="22" fillId="7" borderId="6" applyAlignment="1" pivotButton="0" quotePrefix="0" xfId="0">
      <alignment horizontal="right" vertical="center"/>
    </xf>
    <xf numFmtId="0" fontId="38" fillId="21" borderId="6" applyAlignment="1" pivotButton="0" quotePrefix="0" xfId="0">
      <alignment horizontal="left" vertical="center" indent="1"/>
    </xf>
    <xf numFmtId="0" fontId="38" fillId="21" borderId="6" applyAlignment="1" pivotButton="0" quotePrefix="0" xfId="0">
      <alignment horizontal="right" vertical="center"/>
    </xf>
    <xf numFmtId="165" fontId="38" fillId="21" borderId="6" applyAlignment="1" pivotButton="0" quotePrefix="0" xfId="0">
      <alignment horizontal="right" vertical="center"/>
    </xf>
    <xf numFmtId="0" fontId="39" fillId="21" borderId="6" applyAlignment="1" pivotButton="0" quotePrefix="0" xfId="0">
      <alignment horizontal="left" vertical="center" wrapText="1" indent="1"/>
    </xf>
    <xf numFmtId="0" fontId="15" fillId="11" borderId="0" applyAlignment="1" pivotButton="0" quotePrefix="0" xfId="0">
      <alignment horizontal="justify" vertical="top" wrapText="1" indent="1"/>
    </xf>
    <xf numFmtId="165" fontId="21" fillId="9" borderId="6" applyAlignment="1" pivotButton="0" quotePrefix="0" xfId="0">
      <alignment horizontal="right" vertical="center" wrapText="1"/>
    </xf>
    <xf numFmtId="165" fontId="21" fillId="10" borderId="6" applyAlignment="1" pivotButton="0" quotePrefix="0" xfId="0">
      <alignment horizontal="right" vertical="center" wrapText="1"/>
    </xf>
    <xf numFmtId="0" fontId="38" fillId="8" borderId="6" applyAlignment="1" pivotButton="0" quotePrefix="0" xfId="0">
      <alignment horizontal="left" vertical="center" indent="1"/>
    </xf>
    <xf numFmtId="0" fontId="38" fillId="8" borderId="6" applyAlignment="1" pivotButton="0" quotePrefix="0" xfId="0">
      <alignment horizontal="right" vertical="center"/>
    </xf>
    <xf numFmtId="165" fontId="38" fillId="8" borderId="6" applyAlignment="1" pivotButton="0" quotePrefix="0" xfId="0">
      <alignment horizontal="right" vertical="center"/>
    </xf>
    <xf numFmtId="0" fontId="39" fillId="8" borderId="6" applyAlignment="1" pivotButton="0" quotePrefix="0" xfId="0">
      <alignment horizontal="left" vertical="center" wrapText="1" indent="1"/>
    </xf>
    <xf numFmtId="0" fontId="38" fillId="19" borderId="6" applyAlignment="1" pivotButton="0" quotePrefix="0" xfId="0">
      <alignment horizontal="left" vertical="center" indent="1"/>
    </xf>
    <xf numFmtId="0" fontId="38" fillId="19" borderId="6" applyAlignment="1" pivotButton="0" quotePrefix="0" xfId="0">
      <alignment horizontal="right" vertical="center"/>
    </xf>
    <xf numFmtId="165" fontId="38" fillId="19" borderId="6" applyAlignment="1" pivotButton="0" quotePrefix="0" xfId="0">
      <alignment horizontal="right" vertical="center"/>
    </xf>
    <xf numFmtId="0" fontId="39" fillId="19" borderId="6" applyAlignment="1" pivotButton="0" quotePrefix="0" xfId="0">
      <alignment horizontal="left" vertical="center" wrapText="1" indent="1"/>
    </xf>
    <xf numFmtId="0" fontId="22" fillId="22" borderId="6" applyAlignment="1" pivotButton="0" quotePrefix="0" xfId="0">
      <alignment horizontal="left" vertical="center" indent="1"/>
    </xf>
    <xf numFmtId="0" fontId="22" fillId="22" borderId="6" applyAlignment="1" pivotButton="0" quotePrefix="0" xfId="0">
      <alignment horizontal="right" vertical="center"/>
    </xf>
    <xf numFmtId="165" fontId="22" fillId="22" borderId="6" applyAlignment="1" pivotButton="0" quotePrefix="0" xfId="0">
      <alignment horizontal="right" vertical="center"/>
    </xf>
    <xf numFmtId="165" fontId="35" fillId="4" borderId="6" applyAlignment="1" pivotButton="0" quotePrefix="0" xfId="0">
      <alignment horizontal="right" vertical="center" wrapText="1"/>
    </xf>
    <xf numFmtId="0" fontId="40" fillId="9" borderId="6" applyAlignment="1" pivotButton="0" quotePrefix="0" xfId="0">
      <alignment horizontal="left" vertical="top" wrapText="1" indent="1"/>
    </xf>
    <xf numFmtId="165" fontId="11" fillId="9" borderId="6" applyAlignment="1" pivotButton="0" quotePrefix="0" xfId="0">
      <alignment horizontal="right" vertical="center" wrapText="1"/>
    </xf>
    <xf numFmtId="165" fontId="41" fillId="9" borderId="6" applyAlignment="1" pivotButton="0" quotePrefix="0" xfId="0">
      <alignment horizontal="right" vertical="center" wrapText="1"/>
    </xf>
    <xf numFmtId="165" fontId="16" fillId="9" borderId="6" applyAlignment="1" pivotButton="0" quotePrefix="0" xfId="0">
      <alignment horizontal="right" vertical="center" wrapText="1"/>
    </xf>
    <xf numFmtId="0" fontId="40" fillId="10" borderId="6" applyAlignment="1" pivotButton="0" quotePrefix="0" xfId="0">
      <alignment horizontal="left" vertical="top" wrapText="1" indent="1"/>
    </xf>
    <xf numFmtId="165" fontId="11" fillId="10" borderId="6" applyAlignment="1" pivotButton="0" quotePrefix="0" xfId="0">
      <alignment horizontal="right" vertical="center" wrapText="1"/>
    </xf>
    <xf numFmtId="165" fontId="41" fillId="10" borderId="6" applyAlignment="1" pivotButton="0" quotePrefix="0" xfId="0">
      <alignment horizontal="right" vertical="center" wrapText="1"/>
    </xf>
    <xf numFmtId="165" fontId="16" fillId="10" borderId="6" applyAlignment="1" pivotButton="0" quotePrefix="0" xfId="0">
      <alignment horizontal="right" vertical="center" wrapText="1"/>
    </xf>
    <xf numFmtId="0" fontId="40" fillId="5" borderId="6" applyAlignment="1" pivotButton="0" quotePrefix="0" xfId="0">
      <alignment horizontal="left" vertical="top" wrapText="1" indent="1"/>
    </xf>
    <xf numFmtId="165" fontId="11" fillId="5" borderId="6" applyAlignment="1" pivotButton="0" quotePrefix="0" xfId="0">
      <alignment horizontal="right" vertical="center" wrapText="1"/>
    </xf>
    <xf numFmtId="165" fontId="41" fillId="5" borderId="6" applyAlignment="1" pivotButton="0" quotePrefix="0" xfId="0">
      <alignment horizontal="right" vertical="center" wrapText="1"/>
    </xf>
    <xf numFmtId="165" fontId="16" fillId="5" borderId="6" applyAlignment="1" pivotButton="0" quotePrefix="0" xfId="0">
      <alignment horizontal="right" vertical="center" wrapText="1"/>
    </xf>
    <xf numFmtId="0" fontId="13" fillId="2" borderId="34" applyAlignment="1" pivotButton="0" quotePrefix="0" xfId="0">
      <alignment horizontal="center" vertical="center" wrapText="1"/>
    </xf>
    <xf numFmtId="0" fontId="0" fillId="11" borderId="37" pivotButton="0" quotePrefix="0" xfId="0"/>
    <xf numFmtId="0" fontId="35" fillId="22" borderId="6" applyAlignment="1" pivotButton="0" quotePrefix="0" xfId="0">
      <alignment horizontal="left" vertical="top" wrapText="1" indent="1"/>
    </xf>
    <xf numFmtId="0" fontId="42" fillId="22" borderId="6" applyAlignment="1" pivotButton="0" quotePrefix="0" xfId="0">
      <alignment horizontal="left" vertical="top" wrapText="1" indent="1"/>
    </xf>
    <xf numFmtId="165" fontId="35" fillId="9" borderId="6" applyAlignment="1" pivotButton="0" quotePrefix="0" xfId="0">
      <alignment horizontal="right" vertical="center" wrapText="1"/>
    </xf>
    <xf numFmtId="165" fontId="35" fillId="10" borderId="6" applyAlignment="1" pivotButton="0" quotePrefix="0" xfId="0">
      <alignment horizontal="right" vertical="center" wrapText="1"/>
    </xf>
    <xf numFmtId="0" fontId="35" fillId="4" borderId="6" applyAlignment="1" pivotButton="0" quotePrefix="0" xfId="0">
      <alignment horizontal="left" vertical="center" indent="1"/>
    </xf>
    <xf numFmtId="0" fontId="35" fillId="4" borderId="6" applyAlignment="1" pivotButton="0" quotePrefix="0" xfId="0">
      <alignment horizontal="right" vertical="center"/>
    </xf>
    <xf numFmtId="165" fontId="35" fillId="4" borderId="6" applyAlignment="1" pivotButton="0" quotePrefix="0" xfId="0">
      <alignment horizontal="right" vertical="center"/>
    </xf>
    <xf numFmtId="0" fontId="38" fillId="2" borderId="6" applyAlignment="1" pivotButton="0" quotePrefix="0" xfId="0">
      <alignment horizontal="left" vertical="center" indent="1"/>
    </xf>
    <xf numFmtId="0" fontId="38" fillId="2" borderId="6" applyAlignment="1" pivotButton="0" quotePrefix="0" xfId="0">
      <alignment horizontal="right" vertical="center"/>
    </xf>
    <xf numFmtId="165" fontId="38" fillId="2" borderId="6" applyAlignment="1" pivotButton="0" quotePrefix="0" xfId="0">
      <alignment horizontal="right" vertical="center"/>
    </xf>
    <xf numFmtId="0" fontId="39" fillId="2" borderId="6" applyAlignment="1" pivotButton="0" quotePrefix="0" xfId="0">
      <alignment horizontal="left" vertical="center" wrapText="1" indent="1"/>
    </xf>
    <xf numFmtId="0" fontId="43" fillId="9" borderId="6" applyAlignment="1" pivotButton="0" quotePrefix="0" xfId="0">
      <alignment horizontal="right" vertical="center" wrapText="1"/>
    </xf>
    <xf numFmtId="9" fontId="14" fillId="9" borderId="6" applyAlignment="1" pivotButton="0" quotePrefix="0" xfId="0">
      <alignment horizontal="right" vertical="center" wrapText="1"/>
    </xf>
    <xf numFmtId="0" fontId="43" fillId="10" borderId="6" applyAlignment="1" pivotButton="0" quotePrefix="0" xfId="0">
      <alignment horizontal="right" vertical="center" wrapText="1"/>
    </xf>
    <xf numFmtId="9" fontId="14" fillId="10" borderId="6" applyAlignment="1" pivotButton="0" quotePrefix="0" xfId="0">
      <alignment horizontal="right" vertical="center" wrapText="1"/>
    </xf>
    <xf numFmtId="0" fontId="14" fillId="5" borderId="6" applyAlignment="1" pivotButton="0" quotePrefix="0" xfId="0">
      <alignment horizontal="left" vertical="top" wrapText="1" indent="1"/>
    </xf>
    <xf numFmtId="0" fontId="15" fillId="5" borderId="6" applyAlignment="1" pivotButton="0" quotePrefix="0" xfId="0">
      <alignment horizontal="left" vertical="top" wrapText="1" indent="1"/>
    </xf>
    <xf numFmtId="165" fontId="21" fillId="5" borderId="6" applyAlignment="1" pivotButton="0" quotePrefix="0" xfId="0">
      <alignment horizontal="right" vertical="center" wrapText="1"/>
    </xf>
    <xf numFmtId="165" fontId="22" fillId="5" borderId="6" applyAlignment="1" pivotButton="0" quotePrefix="0" xfId="0">
      <alignment horizontal="right" vertical="center" wrapText="1"/>
    </xf>
    <xf numFmtId="164" fontId="34" fillId="10" borderId="6" applyAlignment="1" pivotButton="0" quotePrefix="0" xfId="0">
      <alignment horizontal="right" vertical="center" wrapText="1"/>
    </xf>
    <xf numFmtId="0" fontId="44" fillId="11" borderId="0" applyAlignment="1" pivotButton="0" quotePrefix="0" xfId="0">
      <alignment horizontal="left" vertical="center" indent="1"/>
    </xf>
    <xf numFmtId="165" fontId="14" fillId="5" borderId="6" applyAlignment="1" pivotButton="0" quotePrefix="0" xfId="0">
      <alignment horizontal="right" vertical="center" wrapText="1"/>
    </xf>
    <xf numFmtId="164" fontId="14" fillId="5" borderId="6" applyAlignment="1" pivotButton="0" quotePrefix="0" xfId="0">
      <alignment horizontal="right" vertical="center" wrapText="1"/>
    </xf>
    <xf numFmtId="0" fontId="45" fillId="11" borderId="0" applyAlignment="1" pivotButton="0" quotePrefix="0" xfId="0">
      <alignment horizontal="left" vertical="center" indent="1"/>
    </xf>
    <xf numFmtId="0" fontId="13" fillId="20" borderId="38" applyAlignment="1" pivotButton="0" quotePrefix="0" xfId="0">
      <alignment horizontal="center" vertical="center" wrapText="1"/>
    </xf>
    <xf numFmtId="0" fontId="0" fillId="11" borderId="41" pivotButton="0" quotePrefix="0" xfId="0"/>
    <xf numFmtId="165" fontId="46" fillId="9" borderId="6" applyAlignment="1" pivotButton="0" quotePrefix="0" xfId="0">
      <alignment horizontal="right" vertical="center" wrapText="1"/>
    </xf>
    <xf numFmtId="165" fontId="46" fillId="10" borderId="6" applyAlignment="1" pivotButton="0" quotePrefix="0" xfId="0">
      <alignment horizontal="right" vertical="center" wrapText="1"/>
    </xf>
    <xf numFmtId="0" fontId="38" fillId="20" borderId="6" applyAlignment="1" pivotButton="0" quotePrefix="0" xfId="0">
      <alignment horizontal="left" vertical="center" indent="1"/>
    </xf>
    <xf numFmtId="0" fontId="38" fillId="20" borderId="6" applyAlignment="1" pivotButton="0" quotePrefix="0" xfId="0">
      <alignment horizontal="right" vertical="center"/>
    </xf>
    <xf numFmtId="165" fontId="38" fillId="20" borderId="6" applyAlignment="1" pivotButton="0" quotePrefix="0" xfId="0">
      <alignment horizontal="right" vertical="center"/>
    </xf>
    <xf numFmtId="0" fontId="39" fillId="20" borderId="6" applyAlignment="1" pivotButton="0" quotePrefix="0" xfId="0">
      <alignment horizontal="left" vertical="center" wrapText="1" indent="1"/>
    </xf>
    <xf numFmtId="165" fontId="22" fillId="9" borderId="6" applyAlignment="1" pivotButton="0" quotePrefix="0" xfId="0">
      <alignment horizontal="right" vertical="center" wrapText="1"/>
    </xf>
    <xf numFmtId="0" fontId="15" fillId="6" borderId="12" applyAlignment="1" pivotButton="0" quotePrefix="0" xfId="0">
      <alignment horizontal="justify" vertical="top" wrapText="1" indent="1"/>
    </xf>
    <xf numFmtId="165" fontId="43" fillId="9" borderId="6" applyAlignment="1" pivotButton="0" quotePrefix="0" xfId="0">
      <alignment horizontal="right" vertical="center" wrapText="1"/>
    </xf>
    <xf numFmtId="165" fontId="43" fillId="10" borderId="6" applyAlignment="1" pivotButton="0" quotePrefix="0" xfId="0">
      <alignment horizontal="right" vertical="center" wrapText="1"/>
    </xf>
    <xf numFmtId="165" fontId="22" fillId="10" borderId="6" applyAlignment="1" pivotButton="0" quotePrefix="0" xfId="0">
      <alignment horizontal="right" vertical="center" wrapText="1"/>
    </xf>
    <xf numFmtId="0" fontId="46" fillId="9" borderId="6" applyAlignment="1" pivotButton="0" quotePrefix="0" xfId="0">
      <alignment horizontal="left" vertical="top" wrapText="1" indent="1"/>
    </xf>
    <xf numFmtId="0" fontId="21" fillId="9" borderId="6" applyAlignment="1" pivotButton="0" quotePrefix="0" xfId="0">
      <alignment horizontal="left" vertical="top" wrapText="1" indent="1"/>
    </xf>
    <xf numFmtId="0" fontId="46" fillId="10" borderId="6" applyAlignment="1" pivotButton="0" quotePrefix="0" xfId="0">
      <alignment horizontal="left" vertical="top" wrapText="1" indent="1"/>
    </xf>
    <xf numFmtId="0" fontId="21" fillId="10" borderId="6" applyAlignment="1" pivotButton="0" quotePrefix="0" xfId="0">
      <alignment horizontal="left" vertical="top" wrapText="1" indent="1"/>
    </xf>
    <xf numFmtId="0" fontId="0" fillId="11" borderId="44" pivotButton="0" quotePrefix="0" xfId="0"/>
    <xf numFmtId="165" fontId="22" fillId="4" borderId="6" applyAlignment="1" pivotButton="0" quotePrefix="0" xfId="0">
      <alignment horizontal="right" vertical="center" wrapText="1"/>
    </xf>
    <xf numFmtId="165" fontId="34" fillId="4" borderId="6" applyAlignment="1" pivotButton="0" quotePrefix="0" xfId="0">
      <alignment horizontal="right" vertical="center" wrapText="1"/>
    </xf>
    <xf numFmtId="0" fontId="47" fillId="11" borderId="0" applyAlignment="1" pivotButton="0" quotePrefix="0" xfId="0">
      <alignment horizontal="left" vertical="center" indent="1"/>
    </xf>
    <xf numFmtId="0" fontId="21" fillId="9" borderId="6" applyAlignment="1" pivotButton="0" quotePrefix="0" xfId="0">
      <alignment horizontal="right" vertical="center" wrapText="1"/>
    </xf>
    <xf numFmtId="0" fontId="21" fillId="10" borderId="6" applyAlignment="1" pivotButton="0" quotePrefix="0" xfId="0">
      <alignment horizontal="right" vertical="center" wrapText="1"/>
    </xf>
    <xf numFmtId="0" fontId="9" fillId="23" borderId="0" applyAlignment="1" pivotButton="0" quotePrefix="0" xfId="0">
      <alignment horizontal="left" vertical="center" indent="1"/>
    </xf>
    <xf numFmtId="3" fontId="21" fillId="9" borderId="6" applyAlignment="1" pivotButton="0" quotePrefix="0" xfId="0">
      <alignment horizontal="right" vertical="center" wrapText="1"/>
    </xf>
    <xf numFmtId="3" fontId="14" fillId="10" borderId="6" applyAlignment="1" pivotButton="0" quotePrefix="0" xfId="0">
      <alignment horizontal="right" vertical="center" wrapText="1"/>
    </xf>
    <xf numFmtId="3" fontId="21" fillId="10" borderId="6" applyAlignment="1" pivotButton="0" quotePrefix="0" xfId="0">
      <alignment horizontal="right" vertical="center" wrapText="1"/>
    </xf>
    <xf numFmtId="0" fontId="13" fillId="8" borderId="6" applyAlignment="1" pivotButton="0" quotePrefix="0" xfId="0">
      <alignment horizontal="left" vertical="center" indent="1"/>
    </xf>
    <xf numFmtId="0" fontId="13" fillId="8" borderId="6" applyAlignment="1" pivotButton="0" quotePrefix="0" xfId="0">
      <alignment horizontal="right" vertical="center"/>
    </xf>
    <xf numFmtId="3" fontId="13" fillId="8" borderId="6" applyAlignment="1" pivotButton="0" quotePrefix="0" xfId="0">
      <alignment horizontal="right" vertical="center"/>
    </xf>
    <xf numFmtId="0" fontId="48" fillId="10" borderId="45" applyAlignment="1" pivotButton="0" quotePrefix="0" xfId="0">
      <alignment horizontal="left" vertical="center" indent="1"/>
    </xf>
    <xf numFmtId="0" fontId="15" fillId="10" borderId="46" applyAlignment="1" pivotButton="0" quotePrefix="0" xfId="0">
      <alignment horizontal="justify" vertical="top" wrapText="1" indent="1"/>
    </xf>
    <xf numFmtId="0" fontId="15" fillId="7" borderId="4" applyAlignment="1" pivotButton="0" quotePrefix="0" xfId="0">
      <alignment horizontal="justify" vertical="top" wrapText="1" indent="1"/>
    </xf>
    <xf numFmtId="0" fontId="17" fillId="11" borderId="0" applyAlignment="1" pivotButton="0" quotePrefix="0" xfId="0">
      <alignment horizontal="left" vertical="center" indent="1"/>
    </xf>
    <xf numFmtId="0" fontId="35" fillId="9" borderId="6" applyAlignment="1" pivotButton="0" quotePrefix="0" xfId="0">
      <alignment horizontal="left" vertical="top" wrapText="1" indent="1"/>
    </xf>
    <xf numFmtId="0" fontId="35" fillId="10" borderId="6" applyAlignment="1" pivotButton="0" quotePrefix="0" xfId="0">
      <alignment horizontal="left" vertical="top" wrapText="1" indent="1"/>
    </xf>
    <xf numFmtId="0" fontId="49" fillId="9" borderId="6" applyAlignment="1" pivotButton="0" quotePrefix="0" xfId="0">
      <alignment horizontal="left" vertical="top" wrapText="1" indent="1"/>
    </xf>
    <xf numFmtId="0" fontId="12" fillId="9" borderId="6" applyAlignment="1" pivotButton="0" quotePrefix="0" xfId="0">
      <alignment horizontal="left" vertical="top" wrapText="1" indent="1"/>
    </xf>
    <xf numFmtId="0" fontId="6" fillId="9" borderId="6" applyAlignment="1" pivotButton="0" quotePrefix="0" xfId="0">
      <alignment horizontal="left" vertical="top" wrapText="1" indent="1"/>
    </xf>
    <xf numFmtId="0" fontId="49" fillId="10" borderId="6" applyAlignment="1" pivotButton="0" quotePrefix="0" xfId="0">
      <alignment horizontal="left" vertical="top" wrapText="1" indent="1"/>
    </xf>
    <xf numFmtId="0" fontId="12" fillId="10" borderId="6" applyAlignment="1" pivotButton="0" quotePrefix="0" xfId="0">
      <alignment horizontal="left" vertical="top" wrapText="1" indent="1"/>
    </xf>
    <xf numFmtId="0" fontId="6" fillId="10" borderId="6" applyAlignment="1" pivotButton="0" quotePrefix="0" xfId="0">
      <alignment horizontal="left" vertical="top" wrapText="1" indent="1"/>
    </xf>
    <xf numFmtId="0" fontId="34" fillId="9" borderId="6" applyAlignment="1" pivotButton="0" quotePrefix="0" xfId="0">
      <alignment horizontal="center" vertical="center" wrapText="1"/>
    </xf>
    <xf numFmtId="0" fontId="34" fillId="10" borderId="6" applyAlignment="1" pivotButton="0" quotePrefix="0" xfId="0">
      <alignment horizontal="center" vertical="center" wrapText="1"/>
    </xf>
    <xf numFmtId="0" fontId="15" fillId="9" borderId="6" applyAlignment="1" pivotButton="0" quotePrefix="0" xfId="0">
      <alignment horizontal="center" vertical="center" wrapText="1"/>
    </xf>
    <xf numFmtId="0" fontId="15" fillId="10" borderId="6" applyAlignment="1" pivotButton="0" quotePrefix="0" xfId="0">
      <alignment horizontal="center" vertical="center" wrapText="1"/>
    </xf>
    <xf numFmtId="0" fontId="35" fillId="4" borderId="6" applyAlignment="1" pivotButton="0" quotePrefix="0" xfId="0">
      <alignment horizontal="left" vertical="top" wrapText="1" indent="1"/>
    </xf>
    <xf numFmtId="0" fontId="42" fillId="4" borderId="6" applyAlignment="1" pivotButton="0" quotePrefix="0" xfId="0">
      <alignment horizontal="center" vertical="center" wrapText="1"/>
    </xf>
    <xf numFmtId="0" fontId="46" fillId="6" borderId="6" applyAlignment="1" pivotButton="0" quotePrefix="0" xfId="0">
      <alignment horizontal="left" vertical="top" wrapText="1" indent="1"/>
    </xf>
    <xf numFmtId="0" fontId="15" fillId="6" borderId="6" applyAlignment="1" pivotButton="0" quotePrefix="0" xfId="0">
      <alignment horizontal="left" vertical="top" wrapText="1" indent="1"/>
    </xf>
    <xf numFmtId="165" fontId="46" fillId="6" borderId="6" applyAlignment="1" pivotButton="0" quotePrefix="0" xfId="0">
      <alignment horizontal="right" vertical="center" wrapText="1"/>
    </xf>
    <xf numFmtId="0" fontId="50" fillId="6" borderId="6" applyAlignment="1" pivotButton="0" quotePrefix="0" xfId="0">
      <alignment horizontal="center" vertical="center" wrapText="1"/>
    </xf>
    <xf numFmtId="0" fontId="35" fillId="5" borderId="6" applyAlignment="1" pivotButton="0" quotePrefix="0" xfId="0">
      <alignment horizontal="left" vertical="top" wrapText="1" indent="1"/>
    </xf>
    <xf numFmtId="0" fontId="46" fillId="5" borderId="6" applyAlignment="1" pivotButton="0" quotePrefix="0" xfId="0">
      <alignment horizontal="left" vertical="top" wrapText="1" indent="1"/>
    </xf>
    <xf numFmtId="0" fontId="42" fillId="10" borderId="6" applyAlignment="1" pivotButton="0" quotePrefix="0" xfId="0">
      <alignment horizontal="left" vertical="top" wrapText="1" indent="1"/>
    </xf>
    <xf numFmtId="0" fontId="50" fillId="10" borderId="6" applyAlignment="1" pivotButton="0" quotePrefix="0" xfId="0">
      <alignment horizontal="left" vertical="top" wrapText="1" indent="1"/>
    </xf>
    <xf numFmtId="0" fontId="42" fillId="9" borderId="6" applyAlignment="1" pivotButton="0" quotePrefix="0" xfId="0">
      <alignment horizontal="left" vertical="top" wrapText="1" indent="1"/>
    </xf>
    <xf numFmtId="0" fontId="50" fillId="9" borderId="6" applyAlignment="1" pivotButton="0" quotePrefix="0" xfId="0">
      <alignment horizontal="left" vertical="top" wrapText="1" indent="1"/>
    </xf>
    <xf numFmtId="0" fontId="28" fillId="9" borderId="6" applyAlignment="1" pivotButton="0" quotePrefix="0" xfId="0">
      <alignment horizontal="center" vertical="center" wrapText="1"/>
    </xf>
    <xf numFmtId="0" fontId="51" fillId="9" borderId="6" applyAlignment="1" pivotButton="0" quotePrefix="0" xfId="0">
      <alignment horizontal="left" vertical="top" wrapText="1" indent="1"/>
    </xf>
    <xf numFmtId="0" fontId="28" fillId="10" borderId="6" applyAlignment="1" pivotButton="0" quotePrefix="0" xfId="0">
      <alignment horizontal="center" vertical="center" wrapText="1"/>
    </xf>
    <xf numFmtId="0" fontId="51" fillId="10" borderId="6"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3342C"/>
    <outlinePr summaryBelow="1" summaryRight="1"/>
    <pageSetUpPr fitToPage="1"/>
  </sheetPr>
  <dimension ref="A1:H109"/>
  <sheetViews>
    <sheetView showGridLines="0" zoomScale="85" workbookViewId="0">
      <pane xSplit="1" ySplit="3" topLeftCell="B4" activePane="bottomRight" state="frozen"/>
      <selection pane="topRight"/>
      <selection pane="bottomLeft"/>
      <selection pane="bottomRight" activeCell="A1" sqref="A1"/>
    </sheetView>
  </sheetViews>
  <sheetFormatPr baseColWidth="8" defaultRowHeight="15"/>
  <cols>
    <col width="2.43" customWidth="1" min="1" max="1"/>
    <col width="41.29" customWidth="1" min="2" max="2"/>
    <col width="41.29" customWidth="1" min="3" max="3"/>
    <col width="41.29" customWidth="1" min="4" max="4"/>
    <col width="41.29" customWidth="1" min="5" max="5"/>
    <col width="41.29" customWidth="1" min="6" max="6"/>
    <col width="41.29" customWidth="1" min="7" max="7"/>
    <col width="2.43" customWidth="1" min="8" max="8"/>
  </cols>
  <sheetData>
    <row r="1">
      <c r="A1" s="1" t="n"/>
      <c r="B1" s="1" t="n"/>
      <c r="C1" s="1" t="n"/>
      <c r="D1" s="1" t="n"/>
      <c r="E1" s="1" t="n"/>
      <c r="F1" s="1" t="n"/>
      <c r="G1" s="1" t="n"/>
      <c r="H1" s="1" t="n"/>
    </row>
    <row r="2" ht="46" customHeight="1">
      <c r="A2" s="1" t="n"/>
      <c r="B2" s="2" t="inlineStr">
        <is>
          <t>RECOEVO</t>
        </is>
      </c>
      <c r="C2" s="2" t="n"/>
      <c r="D2" s="2" t="n"/>
      <c r="E2" s="2" t="n"/>
      <c r="F2" s="2" t="n"/>
      <c r="G2" s="2" t="n"/>
      <c r="H2" s="1" t="n"/>
    </row>
    <row r="3" ht="24" customHeight="1">
      <c r="A3" s="1" t="n"/>
      <c r="B3" s="3" t="inlineStr">
        <is>
          <t>Economía circular para Usme: de la comida que se bota al abono que la Sabana necesita   ·   Resumen ejecutivo</t>
        </is>
      </c>
      <c r="C3" s="3" t="n"/>
      <c r="D3" s="3" t="n"/>
      <c r="E3" s="3" t="n"/>
      <c r="F3" s="3" t="n"/>
      <c r="G3" s="3" t="n"/>
      <c r="H3" s="1" t="n"/>
    </row>
    <row r="4" ht="27.19899999999999" customHeight="1">
      <c r="A4" s="1" t="n"/>
      <c r="B4" s="4" t="inlineStr">
        <is>
          <t>Proyecto de Proceso Administrativo · Tercer semestre · Todas las cifras están en pesos colombianos. Cuando un precio original está en dólares se convierte a $3,100 por dólar.</t>
        </is>
      </c>
      <c r="C4" s="4" t="n"/>
      <c r="D4" s="4" t="n"/>
      <c r="E4" s="4" t="n"/>
      <c r="F4" s="4" t="n"/>
      <c r="G4" s="4" t="n"/>
      <c r="H4" s="1" t="n"/>
    </row>
    <row r="5" ht="10" customHeight="1">
      <c r="A5" s="1" t="n"/>
      <c r="B5" s="1" t="n"/>
      <c r="C5" s="1" t="n"/>
      <c r="D5" s="1" t="n"/>
      <c r="E5" s="1" t="n"/>
      <c r="F5" s="1" t="n"/>
      <c r="G5" s="1" t="n"/>
      <c r="H5" s="1" t="n"/>
    </row>
    <row r="6" ht="20" customHeight="1">
      <c r="A6" s="1" t="n"/>
      <c r="B6" s="5" t="inlineStr">
        <is>
          <t>El proyecto en seis cifras</t>
        </is>
      </c>
      <c r="C6" s="5" t="n"/>
      <c r="D6" s="5" t="n"/>
      <c r="E6" s="5" t="n"/>
      <c r="F6" s="5" t="n"/>
      <c r="G6" s="5" t="n"/>
      <c r="H6" s="1" t="n"/>
    </row>
    <row r="7" ht="30" customHeight="1">
      <c r="A7" s="1" t="n"/>
      <c r="B7" s="6" t="n">
        <v>0.5322</v>
      </c>
      <c r="C7" s="7" t="n">
        <v>0.74</v>
      </c>
      <c r="D7" s="8" t="n">
        <v>141795</v>
      </c>
      <c r="E7" s="9" t="n">
        <v>191190</v>
      </c>
      <c r="F7" s="10" t="n">
        <v>258044</v>
      </c>
      <c r="G7" s="10" t="n">
        <v>397000</v>
      </c>
      <c r="H7" s="1" t="n"/>
    </row>
    <row r="8" ht="42.59799999999999" customHeight="1">
      <c r="A8" s="1" t="n"/>
      <c r="B8" s="11" t="inlineStr">
        <is>
          <t>de lo que Bogotá entierra en Doña Juana es comida</t>
        </is>
      </c>
      <c r="C8" s="11" t="inlineStr">
        <is>
          <t>de esa comida sale de las casas, no de la industria</t>
        </is>
      </c>
      <c r="D8" s="12" t="inlineStr">
        <is>
          <t>hogares tiene Usme, la localidad más pobre de Bogotá</t>
        </is>
      </c>
      <c r="E8" s="12" t="inlineStr">
        <is>
          <t>le cuesta hoy a la ciudad recoger, enterrar y tratar el lixiviado de una tonelada</t>
        </is>
      </c>
      <c r="F8" s="13" t="inlineStr">
        <is>
          <t>cuesta fabricar e instalar el aparato en cada hogar</t>
        </is>
      </c>
      <c r="G8" s="13" t="inlineStr">
        <is>
          <t>es su precio de venta al público</t>
        </is>
      </c>
      <c r="H8" s="1" t="n"/>
    </row>
    <row r="9" ht="14" customHeight="1">
      <c r="A9" s="1" t="n"/>
      <c r="B9" s="1" t="n"/>
      <c r="C9" s="1" t="n"/>
      <c r="D9" s="1" t="n"/>
      <c r="E9" s="1" t="n"/>
      <c r="F9" s="1" t="n"/>
      <c r="G9" s="1" t="n"/>
      <c r="H9" s="1" t="n"/>
    </row>
    <row r="10" ht="26" customHeight="1">
      <c r="A10" s="1" t="n"/>
      <c r="B10" s="14" t="inlineStr">
        <is>
          <t>1.   Problema 1 · La comida que Usme entierra en Doña Juana</t>
        </is>
      </c>
      <c r="C10" s="14" t="n"/>
      <c r="D10" s="14" t="n"/>
      <c r="E10" s="14" t="n"/>
      <c r="F10" s="14" t="n"/>
      <c r="G10" s="14" t="n"/>
      <c r="H10" s="1" t="n"/>
    </row>
    <row r="11" ht="63.2" customHeight="1">
      <c r="A11" s="1" t="n"/>
      <c r="B11" s="15" t="inlineStr">
        <is>
          <t>Bogotá produce más basura cada año y la entierra casi toda. En los primeros tres meses de 2026 entraron al relleno sanitario de Doña Juana 6,769 toneladas diarias, y la ciudad viene creciendo en basura al 5.5 % cada año. Pero lo importante no es cuánta basura hay, sino de qué está hecha: según la guía técnica que hicieron juntas la UAESP y la Universidad Nacional, el 53.22 % de todo lo que se entierra es materia orgánica, es decir comida. Y el 74 % de esa comida sale de las casas, no de las fábricas ni de los restaurantes. Dicho de otra forma: cuatro de cada diez toneladas que Bogotá entierra salieron de la cocina de alguien.</t>
        </is>
      </c>
      <c r="C11" s="15" t="n"/>
      <c r="D11" s="15" t="n"/>
      <c r="E11" s="15" t="n"/>
      <c r="F11" s="15" t="n"/>
      <c r="G11" s="15" t="n"/>
      <c r="H11" s="1" t="n"/>
    </row>
    <row r="12" ht="4" customHeight="1">
      <c r="A12" s="1" t="n"/>
      <c r="B12" s="1" t="n"/>
      <c r="C12" s="1" t="n"/>
      <c r="D12" s="1" t="n"/>
      <c r="E12" s="1" t="n"/>
      <c r="F12" s="1" t="n"/>
      <c r="G12" s="1" t="n"/>
      <c r="H12" s="1" t="n"/>
    </row>
    <row r="13" ht="63.2" customHeight="1">
      <c r="A13" s="1" t="n"/>
      <c r="B13" s="15" t="inlineStr">
        <is>
          <t>Usme es donde el problema se ve peor. Tiene 414,995 habitantes y 141,795 hogares, todos en estrato 1 y 2 —no hay una sola manzana de estrato 3 o más—, y es la localidad con más pobreza de Bogotá: 57.81 % de pobreza monetaria, 55.7 % de trabajo informal y 17 % de desempleo. Nadie publica cuánta basura produce cada localidad, porque las cifras se reportan por zonas grandes. Por eso este trabajo tuvo que estimarla, usando un dato regulado que sí es público: cuántas toneladas produce al mes un suscriptor de estrato 1 y 2 según el pliego del operador de aseo de Usme. El resultado es que la localidad genera entre 2,520 y 5,135 toneladas de comida al mes, o sea entre 0.58 y 1.19 kilos por hogar cada día.</t>
        </is>
      </c>
      <c r="C13" s="15" t="n"/>
      <c r="D13" s="15" t="n"/>
      <c r="E13" s="15" t="n"/>
      <c r="F13" s="15" t="n"/>
      <c r="G13" s="15" t="n"/>
      <c r="H13" s="1" t="n"/>
    </row>
    <row r="14" ht="4" customHeight="1">
      <c r="A14" s="1" t="n"/>
      <c r="B14" s="1" t="n"/>
      <c r="C14" s="1" t="n"/>
      <c r="D14" s="1" t="n"/>
      <c r="E14" s="1" t="n"/>
      <c r="F14" s="1" t="n"/>
      <c r="G14" s="1" t="n"/>
      <c r="H14" s="1" t="n"/>
    </row>
    <row r="15" ht="49.4" customHeight="1">
      <c r="A15" s="1" t="n"/>
      <c r="B15" s="15" t="inlineStr">
        <is>
          <t>Enterrar esa comida cuesta caro de tres maneras distintas. La primera es el clima: cuando la comida se pudre sin aire debajo de la tierra produce metano, un gas que calienta el planeta entre 27 y 80 veces más que el gas que sale de un carro. Doña Juana ya acumula 2.72 millones de toneladas de metano y produce por sí solo el 2.02 % de todo el metano de Colombia. Lo más grave es que el sistema que captura ese gas está fallando: la propia UAESP reconoce que la captura cayó 23.23 % durante 2024.</t>
        </is>
      </c>
      <c r="C15" s="15" t="n"/>
      <c r="D15" s="15" t="n"/>
      <c r="E15" s="15" t="n"/>
      <c r="F15" s="15" t="n"/>
      <c r="G15" s="15" t="n"/>
      <c r="H15" s="1" t="n"/>
    </row>
    <row r="16" ht="4" customHeight="1">
      <c r="A16" s="1" t="n"/>
      <c r="B16" s="1" t="n"/>
      <c r="C16" s="1" t="n"/>
      <c r="D16" s="1" t="n"/>
      <c r="E16" s="1" t="n"/>
      <c r="F16" s="1" t="n"/>
      <c r="G16" s="1" t="n"/>
      <c r="H16" s="1" t="n"/>
    </row>
    <row r="17" ht="49.4" customHeight="1">
      <c r="A17" s="1" t="n"/>
      <c r="B17" s="15" t="inlineStr">
        <is>
          <t>La segunda es la salud del barrio. La comida podrida es lo que atrae ratas y moscas y lo que produce el mal olor: un montón de basura hecho solo de plástico y vidrio no atrae nada. Usme tiene once puntos críticos de basura en la calle y, mientras se escribía este trabajo, había denuncias en el Concejo de Bogotá por basuras y roedores en los barrios La Alborada y El Progreso. Además, la comida es la principal responsable del líquido que escurre del relleno y termina en el río Tunjuelo.</t>
        </is>
      </c>
      <c r="C17" s="15" t="n"/>
      <c r="D17" s="15" t="n"/>
      <c r="E17" s="15" t="n"/>
      <c r="F17" s="15" t="n"/>
      <c r="G17" s="15" t="n"/>
      <c r="H17" s="1" t="n"/>
    </row>
    <row r="18" ht="4" customHeight="1">
      <c r="A18" s="1" t="n"/>
      <c r="B18" s="1" t="n"/>
      <c r="C18" s="1" t="n"/>
      <c r="D18" s="1" t="n"/>
      <c r="E18" s="1" t="n"/>
      <c r="F18" s="1" t="n"/>
      <c r="G18" s="1" t="n"/>
      <c r="H18" s="1" t="n"/>
    </row>
    <row r="19" ht="46.02" customHeight="1">
      <c r="A19" s="1" t="n"/>
      <c r="B19" s="15" t="inlineStr">
        <is>
          <t>La tercera razón es económica. Enterrar una tonelada le cuesta al sistema $66,493 entre el relleno y el tratamiento de ese líquido, y $191,190 si se cuenta también el camión que la lleva. Sacar la comida de Usme de ese circuito ahorraría entre $2,011 y $4,097 millones al año solo en enterramiento.</t>
        </is>
      </c>
      <c r="C19" s="15" t="n"/>
      <c r="D19" s="15" t="n"/>
      <c r="E19" s="15" t="n"/>
      <c r="F19" s="15" t="n"/>
      <c r="G19" s="15" t="n"/>
      <c r="H19" s="1" t="n"/>
    </row>
    <row r="20" ht="4" customHeight="1">
      <c r="A20" s="1" t="n"/>
      <c r="B20" s="1" t="n"/>
      <c r="C20" s="1" t="n"/>
      <c r="D20" s="1" t="n"/>
      <c r="E20" s="1" t="n"/>
      <c r="F20" s="1" t="n"/>
      <c r="G20" s="1" t="n"/>
      <c r="H20" s="1" t="n"/>
    </row>
    <row r="21" ht="63.13" customHeight="1">
      <c r="A21" s="1" t="n"/>
      <c r="B21" s="15" t="inlineStr">
        <is>
          <t>Y sin embargo la ciudad casi no hace nada al respecto, no por falta de voluntad sino de capacidad. En 2024 la UAESP apoyaba dos plantas que trataban 30 toneladas al mes, frente a unas 92,000 toneladas mensuales de comida que se entierran: el 0.03 % del problema. Seis plantas que se diseñaron con la Universidad Distrital nunca se construyeron. Y el plan de la bolsa verde se aplazó: los contratos actuales se prorrogaron hasta noviembre de 2027 y el plan cubrirá apenas al 10 % de la ciudad, sin incluir a Usme.</t>
        </is>
      </c>
      <c r="C21" s="15" t="n"/>
      <c r="D21" s="15" t="n"/>
      <c r="E21" s="15" t="n"/>
      <c r="F21" s="15" t="n"/>
      <c r="G21" s="15" t="n"/>
      <c r="H21" s="1" t="n"/>
    </row>
    <row r="22" ht="4" customHeight="1">
      <c r="A22" s="1" t="n"/>
      <c r="B22" s="1" t="n"/>
      <c r="C22" s="1" t="n"/>
      <c r="D22" s="1" t="n"/>
      <c r="E22" s="1" t="n"/>
      <c r="F22" s="1" t="n"/>
      <c r="G22" s="1" t="n"/>
      <c r="H22" s="1" t="n"/>
    </row>
    <row r="23" ht="8" customHeight="1">
      <c r="A23" s="1" t="n"/>
      <c r="B23" s="1" t="n"/>
      <c r="C23" s="1" t="n"/>
      <c r="D23" s="1" t="n"/>
      <c r="E23" s="1" t="n"/>
      <c r="F23" s="1" t="n"/>
      <c r="G23" s="1" t="n"/>
      <c r="H23" s="1" t="n"/>
    </row>
    <row r="24" ht="26" customHeight="1">
      <c r="A24" s="1" t="n"/>
      <c r="B24" s="14" t="inlineStr">
        <is>
          <t>2.   Problema 2 · La Sabana compra afuera el abono que podría hacer aquí</t>
        </is>
      </c>
      <c r="C24" s="14" t="n"/>
      <c r="D24" s="14" t="n"/>
      <c r="E24" s="14" t="n"/>
      <c r="F24" s="14" t="n"/>
      <c r="G24" s="14" t="n"/>
      <c r="H24" s="1" t="n"/>
    </row>
    <row r="25" ht="28.91" customHeight="1">
      <c r="A25" s="1" t="n"/>
      <c r="B25" s="15" t="inlineStr">
        <is>
          <t>Este problema se investigó por separado, como si el primero no existiera, para comprobar si se sostiene solo. Se sostiene.</t>
        </is>
      </c>
      <c r="C25" s="15" t="n"/>
      <c r="D25" s="15" t="n"/>
      <c r="E25" s="15" t="n"/>
      <c r="F25" s="15" t="n"/>
      <c r="G25" s="15" t="n"/>
      <c r="H25" s="1" t="n"/>
    </row>
    <row r="26" ht="4" customHeight="1">
      <c r="A26" s="1" t="n"/>
      <c r="B26" s="1" t="n"/>
      <c r="C26" s="1" t="n"/>
      <c r="D26" s="1" t="n"/>
      <c r="E26" s="1" t="n"/>
      <c r="F26" s="1" t="n"/>
      <c r="G26" s="1" t="n"/>
      <c r="H26" s="1" t="n"/>
    </row>
    <row r="27" ht="49.4" customHeight="1">
      <c r="A27" s="1" t="n"/>
      <c r="B27" s="15" t="inlineStr">
        <is>
          <t>Colombia casi no produce fertilizantes: consume entre 2.4 y 2.5 millones de toneladas al año e importa 2.3 millones, cerca del 90 %. No es falta de ganas, es geología: el país no tiene reservas de potasio, los yacimientos de fósforo del Huila nunca se explotaron y hay que importar el gas con el que se fabrica la urea. Los inventarios del país alcanzan apenas para dos o tres meses.</t>
        </is>
      </c>
      <c r="C27" s="15" t="n"/>
      <c r="D27" s="15" t="n"/>
      <c r="E27" s="15" t="n"/>
      <c r="F27" s="15" t="n"/>
      <c r="G27" s="15" t="n"/>
      <c r="H27" s="1" t="n"/>
    </row>
    <row r="28" ht="4" customHeight="1">
      <c r="A28" s="1" t="n"/>
      <c r="B28" s="1" t="n"/>
      <c r="C28" s="1" t="n"/>
      <c r="D28" s="1" t="n"/>
      <c r="E28" s="1" t="n"/>
      <c r="F28" s="1" t="n"/>
      <c r="G28" s="1" t="n"/>
      <c r="H28" s="1" t="n"/>
    </row>
    <row r="29" ht="49.4" customHeight="1">
      <c r="A29" s="1" t="n"/>
      <c r="B29" s="15" t="inlineStr">
        <is>
          <t>Eso hace que el precio suba de golpe cada vez que pasa algo en el mundo, y el agricultor no puede defenderse. Entre enero de 2021 y mayo de 2022 el bulto de urea pasó de $78,567 a $260,562: subió 231 %. En 2026 volvió a pasar por los problemas en el Estrecho de Ormuz, por donde pasa un tercio del comercio mundial de fertilizantes. Hoy el bulto de urea cuesta $186,235 en Cundinamarca, un 36.2 % más que hace un año.</t>
        </is>
      </c>
      <c r="C29" s="15" t="n"/>
      <c r="D29" s="15" t="n"/>
      <c r="E29" s="15" t="n"/>
      <c r="F29" s="15" t="n"/>
      <c r="G29" s="15" t="n"/>
      <c r="H29" s="1" t="n"/>
    </row>
    <row r="30" ht="4" customHeight="1">
      <c r="A30" s="1" t="n"/>
      <c r="B30" s="1" t="n"/>
      <c r="C30" s="1" t="n"/>
      <c r="D30" s="1" t="n"/>
      <c r="E30" s="1" t="n"/>
      <c r="F30" s="1" t="n"/>
      <c r="G30" s="1" t="n"/>
      <c r="H30" s="1" t="n"/>
    </row>
    <row r="31" ht="49.4" customHeight="1">
      <c r="A31" s="1" t="n"/>
      <c r="B31" s="15" t="inlineStr">
        <is>
          <t>Y ese insumo pesa mucho en el bolsillo del campesino: según Fedepapa, los fertilizantes son el 18.5 % del costo de producir papa en Cundinamarca. La Sabana sembró 76,626 hectáreas en 2025, de las cuales 58,087 son de papa. Cuando el precio del fertilizante se disparó en 2022, el área sembrada se redujo; cuando bajó, volvió a subir. Como el 95 % de los productores son microempresas, el precio del abono funciona como un filtro: el que no puede pagarlo, se sale del negocio.</t>
        </is>
      </c>
      <c r="C31" s="15" t="n"/>
      <c r="D31" s="15" t="n"/>
      <c r="E31" s="15" t="n"/>
      <c r="F31" s="15" t="n"/>
      <c r="G31" s="15" t="n"/>
      <c r="H31" s="1" t="n"/>
    </row>
    <row r="32" ht="4" customHeight="1">
      <c r="A32" s="1" t="n"/>
      <c r="B32" s="1" t="n"/>
      <c r="C32" s="1" t="n"/>
      <c r="D32" s="1" t="n"/>
      <c r="E32" s="1" t="n"/>
      <c r="F32" s="1" t="n"/>
      <c r="G32" s="1" t="n"/>
      <c r="H32" s="1" t="n"/>
    </row>
    <row r="33" ht="49.4" customHeight="1">
      <c r="A33" s="1" t="n"/>
      <c r="B33" s="15" t="inlineStr">
        <is>
          <t>El daño ambiental también está medido. El 80.3 % de los suelos de Cundinamarca está erosionado, el doble del promedio del país, y la razón es que se fertiliza sin devolverle materia orgánica a la tierra. Además, menos de la mitad del nitrógeno que se echa lo aprovecha la planta: el resto se va al agua y al aire. Eso significa que más de la mitad del dinero que el campesino gasta en abono nitrogenado no produce comida: produce contaminación en el río Bogotá.</t>
        </is>
      </c>
      <c r="C33" s="15" t="n"/>
      <c r="D33" s="15" t="n"/>
      <c r="E33" s="15" t="n"/>
      <c r="F33" s="15" t="n"/>
      <c r="G33" s="15" t="n"/>
      <c r="H33" s="1" t="n"/>
    </row>
    <row r="34" ht="4" customHeight="1">
      <c r="A34" s="1" t="n"/>
      <c r="B34" s="1" t="n"/>
      <c r="C34" s="1" t="n"/>
      <c r="D34" s="1" t="n"/>
      <c r="E34" s="1" t="n"/>
      <c r="F34" s="1" t="n"/>
      <c r="G34" s="1" t="n"/>
      <c r="H34" s="1" t="n"/>
    </row>
    <row r="35" ht="4" customHeight="1">
      <c r="A35" s="1" t="n"/>
      <c r="B35" s="1" t="n"/>
      <c r="C35" s="1" t="n"/>
      <c r="D35" s="1" t="n"/>
      <c r="E35" s="1" t="n"/>
      <c r="F35" s="1" t="n"/>
      <c r="G35" s="1" t="n"/>
      <c r="H35" s="1" t="n"/>
    </row>
    <row r="36" ht="20" customHeight="1">
      <c r="A36" s="1" t="n"/>
      <c r="B36" s="16" t="inlineStr">
        <is>
          <t>Una advertencia honesta sobre el producto</t>
        </is>
      </c>
      <c r="C36" s="16" t="n"/>
      <c r="D36" s="16" t="n"/>
      <c r="E36" s="16" t="n"/>
      <c r="F36" s="16" t="n"/>
      <c r="G36" s="16" t="n"/>
      <c r="H36" s="1" t="n"/>
    </row>
    <row r="37" ht="47.25999999999999" customHeight="1">
      <c r="A37" s="1" t="n"/>
      <c r="B37" s="17" t="inlineStr">
        <is>
          <t>Hay que decir esto con claridad, porque prometer de más arruina el proyecto en la primera cosecha: el abono orgánico NO reemplaza a la urea. Por kilo de nitrógeno cuesta casi cuatro veces más. Lo que sí hace, y la urea no, es devolverle materia orgánica al suelo, que es exactamente lo que le falta al 80 % de las tierras de Cundinamarca. Y su precio es mucho más estable: mientras la urea triplicó su precio en 2022, el abono orgánico se movió la mitad. Al campesino se le vende suelo y estabilidad, no reemplazo.</t>
        </is>
      </c>
      <c r="C37" s="17" t="n"/>
      <c r="D37" s="17" t="n"/>
      <c r="E37" s="17" t="n"/>
      <c r="F37" s="17" t="n"/>
      <c r="G37" s="17" t="n"/>
      <c r="H37" s="1" t="n"/>
    </row>
    <row r="38" ht="12" customHeight="1">
      <c r="A38" s="1" t="n"/>
      <c r="B38" s="1" t="n"/>
      <c r="C38" s="1" t="n"/>
      <c r="D38" s="1" t="n"/>
      <c r="E38" s="1" t="n"/>
      <c r="F38" s="1" t="n"/>
      <c r="G38" s="1" t="n"/>
      <c r="H38" s="1" t="n"/>
    </row>
    <row r="39" ht="26" customHeight="1">
      <c r="A39" s="1" t="n"/>
      <c r="B39" s="14" t="inlineStr">
        <is>
          <t>3.   Cómo se conectan los dos problemas</t>
        </is>
      </c>
      <c r="C39" s="14" t="n"/>
      <c r="D39" s="14" t="n"/>
      <c r="E39" s="14" t="n"/>
      <c r="F39" s="14" t="n"/>
      <c r="G39" s="14" t="n"/>
      <c r="H39" s="1" t="n"/>
    </row>
    <row r="40" ht="80.23999999999999" customHeight="1">
      <c r="A40" s="1" t="n"/>
      <c r="B40" s="15" t="inlineStr">
        <is>
          <t>Los dos problemas se estudiaron aparte y resultaron ser las dos mitades de lo mismo. En el sur de Bogotá, 141,795 hogares entierran cada mes miles de toneladas de materia orgánica, y pagan $191,190 por tonelada entre el camión que la recoge, la celda del relleno y el tratamiento del líquido, además del daño del metano y del lixiviado que llega al río Tunjuelo. A menos de cincuenta kilómetros, en la Sabana, 58,087 hectáreas de papa compran nutrientes traídos de otro continente a precios que se triplican cada cierto tiempo, sobre suelos erosionados justamente por falta de materia orgánica. Un territorio paga por botar lo que el otro territorio paga por comprar. Eso no es una metáfora: es un flujo de nutrientes que hoy se corta en el relleno y que se puede cerrar.</t>
        </is>
      </c>
      <c r="C40" s="15" t="n"/>
      <c r="D40" s="15" t="n"/>
      <c r="E40" s="15" t="n"/>
      <c r="F40" s="15" t="n"/>
      <c r="G40" s="15" t="n"/>
      <c r="H40" s="1" t="n"/>
    </row>
    <row r="41" ht="12" customHeight="1">
      <c r="A41" s="1" t="n"/>
      <c r="B41" s="1" t="n"/>
      <c r="C41" s="1" t="n"/>
      <c r="D41" s="1" t="n"/>
      <c r="E41" s="1" t="n"/>
      <c r="F41" s="1" t="n"/>
      <c r="G41" s="1" t="n"/>
      <c r="H41" s="1" t="n"/>
    </row>
    <row r="42" ht="26" customHeight="1">
      <c r="A42" s="1" t="n"/>
      <c r="B42" s="14" t="inlineStr">
        <is>
          <t>4.   La solución · Cómo es y cómo funciona la máquina</t>
        </is>
      </c>
      <c r="C42" s="14" t="n"/>
      <c r="D42" s="14" t="n"/>
      <c r="E42" s="14" t="n"/>
      <c r="F42" s="14" t="n"/>
      <c r="G42" s="14" t="n"/>
      <c r="H42" s="1" t="n"/>
    </row>
    <row r="43" ht="46.02" customHeight="1">
      <c r="A43" s="1" t="n"/>
      <c r="B43" s="15" t="inlineStr">
        <is>
          <t>Esta sección explica el aparato en detalle y en palabras sencillas: qué tiene por dentro, cómo se arma, qué pasa cuando la familia lo usa, cómo manda el aviso sin internet y cómo lo que sale de ahí se convierte en abono que se puede vender legalmente.</t>
        </is>
      </c>
      <c r="C43" s="15" t="n"/>
      <c r="D43" s="15" t="n"/>
      <c r="E43" s="15" t="n"/>
      <c r="F43" s="15" t="n"/>
      <c r="G43" s="15" t="n"/>
      <c r="H43" s="1" t="n"/>
    </row>
    <row r="44" ht="6" customHeight="1">
      <c r="A44" s="1" t="n"/>
      <c r="B44" s="1" t="n"/>
      <c r="C44" s="1" t="n"/>
      <c r="D44" s="1" t="n"/>
      <c r="E44" s="1" t="n"/>
      <c r="F44" s="1" t="n"/>
      <c r="G44" s="1" t="n"/>
      <c r="H44" s="1" t="n"/>
    </row>
    <row r="45" ht="20" customHeight="1">
      <c r="A45" s="1" t="n"/>
      <c r="B45" s="5" t="inlineStr">
        <is>
          <t>4.1  Qué es, en una frase, y cómo se ve</t>
        </is>
      </c>
      <c r="C45" s="5" t="n"/>
      <c r="D45" s="5" t="n"/>
      <c r="E45" s="5" t="n"/>
      <c r="F45" s="5" t="n"/>
      <c r="G45" s="5" t="n"/>
      <c r="H45" s="1" t="n"/>
    </row>
    <row r="46" ht="49.4" customHeight="1">
      <c r="A46" s="1" t="n"/>
      <c r="B46" s="15" t="inlineStr">
        <is>
          <t>Es una caneca de cocina de unos 55 litros por fuera —mide 38 centímetros de ancho, 40 de fondo y 68 de alto, o sea que cabe debajo de un mesón o al lado de la lavadora— que por dentro tiene un molino. Uno levanta la tapa, echa las cáscaras y los restos de comida, y al cerrar la tapa el molino se enciende solo durante unos segundos, muele todo y lo deja caer en un cajón que está abajo. Ese cajón es el que el operario recoge una vez por semana.</t>
        </is>
      </c>
      <c r="C46" s="15" t="n"/>
      <c r="D46" s="15" t="n"/>
      <c r="E46" s="15" t="n"/>
      <c r="F46" s="15" t="n"/>
      <c r="G46" s="15" t="n"/>
      <c r="H46" s="1" t="n"/>
    </row>
    <row r="47" ht="6" customHeight="1">
      <c r="A47" s="1" t="n"/>
      <c r="B47" s="1" t="n"/>
      <c r="C47" s="1" t="n"/>
      <c r="D47" s="1" t="n"/>
      <c r="E47" s="1" t="n"/>
      <c r="F47" s="1" t="n"/>
      <c r="G47" s="1" t="n"/>
      <c r="H47" s="1" t="n"/>
    </row>
    <row r="48" ht="20" customHeight="1">
      <c r="A48" s="1" t="n"/>
      <c r="B48" s="5" t="inlineStr">
        <is>
          <t>4.2  Cómo está armado por dentro, de arriba hacia abajo</t>
        </is>
      </c>
      <c r="C48" s="5" t="n"/>
      <c r="D48" s="5" t="n"/>
      <c r="E48" s="5" t="n"/>
      <c r="F48" s="5" t="n"/>
      <c r="G48" s="5" t="n"/>
      <c r="H48" s="1" t="n"/>
    </row>
    <row r="49" ht="30" customHeight="1">
      <c r="A49" s="1" t="n"/>
      <c r="B49" s="18" t="inlineStr">
        <is>
          <t>Parte</t>
        </is>
      </c>
      <c r="C49" s="18" t="inlineStr">
        <is>
          <t>Qué es y cómo se arma</t>
        </is>
      </c>
      <c r="D49" s="18" t="n"/>
      <c r="E49" s="18" t="n"/>
      <c r="F49" s="18" t="n"/>
      <c r="G49" s="18" t="n"/>
      <c r="H49" s="1" t="n"/>
    </row>
    <row r="50" ht="44.309" customHeight="1">
      <c r="A50" s="1" t="n"/>
      <c r="B50" s="19" t="inlineStr">
        <is>
          <t>1. La tapa y su sello</t>
        </is>
      </c>
      <c r="C50" s="20" t="inlineStr">
        <is>
          <t>La tapa lleva pegado por debajo un caucho grueso que corre por todo el borde, como el empaque de una nevera. Cuando la tapa baja, un gancho de palanca la aprieta contra ese caucho unos 3 o 4 milímetros. Ese apretón es lo que impide que salga el olor, y es la pieza más importante del aparato en ese sentido: ningún filtro sirve si el aire se escapa por la rendija. En la tapa también va pegado un imán pequeño.</t>
        </is>
      </c>
      <c r="D50" s="20" t="n"/>
      <c r="E50" s="20" t="n"/>
      <c r="F50" s="20" t="n"/>
      <c r="G50" s="20" t="n"/>
      <c r="H50" s="1" t="n"/>
    </row>
    <row r="51" ht="60.5635" customHeight="1">
      <c r="A51" s="1" t="n"/>
      <c r="B51" s="21" t="inlineStr">
        <is>
          <t>2. Los dos interruptores de seguridad</t>
        </is>
      </c>
      <c r="C51" s="22" t="inlineStr">
        <is>
          <t>Aquí hay algo que conviene entender bien porque es lo que evita un accidente con un niño. Hay dos interruptores, no uno. El primero es un imán con su sensor, que le avisa al cerebro electrónico que la tapa ya está cerrada. El segundo es un interruptor mecánico que está metido DENTRO del cable de la corriente del motor, como una llave de la luz puesta en la mitad del cable. Si la tapa está abierta, ese cable está partido y al motor no le llega corriente, así el programa del aparato esté dañado, colgado o manipulado. No es el software el que protege: es el cable cortado.</t>
        </is>
      </c>
      <c r="D51" s="22" t="n"/>
      <c r="E51" s="22" t="n"/>
      <c r="F51" s="22" t="n"/>
      <c r="G51" s="22" t="n"/>
      <c r="H51" s="1" t="n"/>
    </row>
    <row r="52" ht="44.309" customHeight="1">
      <c r="A52" s="1" t="n"/>
      <c r="B52" s="19" t="inlineStr">
        <is>
          <t>3. La boca de carga y el deflector</t>
        </is>
      </c>
      <c r="C52" s="20" t="inlineStr">
        <is>
          <t>La abertura por donde se echa la comida no es un hueco recto hacia el molino. Tiene una lámina atravesada, llamada deflector, que deja pasar las cáscaras pero no deja que entre una mano hasta abajo. Es la misma idea del protector de un ventilador.</t>
        </is>
      </c>
      <c r="D52" s="20" t="n"/>
      <c r="E52" s="20" t="n"/>
      <c r="F52" s="20" t="n"/>
      <c r="G52" s="20" t="n"/>
      <c r="H52" s="1" t="n"/>
    </row>
    <row r="53" ht="60.5635" customHeight="1">
      <c r="A53" s="1" t="n"/>
      <c r="B53" s="21" t="inlineStr">
        <is>
          <t>4. La cámara de molido</t>
        </is>
      </c>
      <c r="C53" s="22" t="inlineStr">
        <is>
          <t>Es una olla de acero inoxidable de 24 centímetros de diámetro y 8 centímetros útiles de fondo, unos 3.6 litros. Su piso es un disco que gira, y todo el borde está rodeado por un anillo fijo dentado con aberturas de 8 milímetros. La comida queda atrapada entre el disco que gira y el anillo que está quieto, y se va partiendo. No corta como una licuadora: parte y desgarra, como un molino de maíz. Lo que ya quedó suficientemente molido pasa por las aberturas del anillo y sale por el borde, no por el fondo. La hoja 5 explica ese recorrido en detalle, porque es lo que hace que el aparato sea posible.</t>
        </is>
      </c>
      <c r="D53" s="22" t="n"/>
      <c r="E53" s="22" t="n"/>
      <c r="F53" s="22" t="n"/>
      <c r="G53" s="22" t="n"/>
      <c r="H53" s="1" t="n"/>
    </row>
    <row r="54" ht="76.81799999999998" customHeight="1">
      <c r="A54" s="1" t="n"/>
      <c r="B54" s="19" t="inlineStr">
        <is>
          <t>5. El motor y su caja de engranajes</t>
        </is>
      </c>
      <c r="C54" s="20" t="inlineStr">
        <is>
          <t>Un motor eléctrico pequeño, de 24 voltios, conectado a una caja de engranajes que le baja la velocidad y le sube la fuerza. El motor solo gira unas 90 vueltas por minuto, que es muy despacio. Eso se hace a propósito: despacio hace menos ruido, no salpica y tiene mucha más fuerza para partir una tusa de maíz o una cáscara de plátano. La caja de engranajes es de tipo sinfín, que tiene una propiedad útil: no se puede girar al revés desde afuera, así que nadie puede mover el disco con la mano metiendo un palo. El motor va vertical, colgado justo debajo del centro de la cámara y atornillado a la misma platina que la sostiene, con el eje hacia arriba acoplado directamente al disco: sin correa y sin acople intermedio, de modo que la alineación no depende del armado.</t>
        </is>
      </c>
      <c r="D54" s="20" t="n"/>
      <c r="E54" s="20" t="n"/>
      <c r="F54" s="20" t="n"/>
      <c r="G54" s="20" t="n"/>
      <c r="H54" s="1" t="n"/>
    </row>
    <row r="55" ht="44.309" customHeight="1">
      <c r="A55" s="1" t="n"/>
      <c r="B55" s="21" t="inlineStr">
        <is>
          <t>6. El sistema antiatasco</t>
        </is>
      </c>
      <c r="C55" s="22" t="inlineStr">
        <is>
          <t>Si el molino se traba con algo duro, el aparato lo detecta porque el motor empieza a consumir más corriente de lo normal. Entonces el cerebro lo hace girar al revés para soltar el pedazo, lo intenta hasta tres veces y, si no lo logra, se apaga y prende una luz de aviso. También hay una protección térmica dentro del motor por si se calienta.</t>
        </is>
      </c>
      <c r="D55" s="22" t="n"/>
      <c r="E55" s="22" t="n"/>
      <c r="F55" s="22" t="n"/>
      <c r="G55" s="22" t="n"/>
      <c r="H55" s="1" t="n"/>
    </row>
    <row r="56" ht="60.5635" customHeight="1">
      <c r="A56" s="1" t="n"/>
      <c r="B56" s="19" t="inlineStr">
        <is>
          <t>7. El cajón y la báscula</t>
        </is>
      </c>
      <c r="C56" s="20" t="inlineStr">
        <is>
          <t>Un cajón de 20 litros, de 34 por 30 por 20 centímetros, con la bolsa compostable ya puesta y una rejilla en el fondo que separa el líquido de lo sólido. No se apoya en el piso del mueble: descansa sobre una bandeja que a su vez se apoya en cuatro celdas de carga, una en cada esquina, de 5 kilos cada una. Cada celda es una piecita de aluminio con galgas pegadas que cambian de resistencia eléctrica cuando la pieza se dobla con el peso; un chip lee ese cambio y lo convierte en kilos. De ahí salen los puntos de la familia. La hoja 5 explica cómo se pone en cero y con qué precisión mide.</t>
        </is>
      </c>
      <c r="D56" s="20" t="n"/>
      <c r="E56" s="20" t="n"/>
      <c r="F56" s="20" t="n"/>
      <c r="G56" s="20" t="n"/>
      <c r="H56" s="1" t="n"/>
    </row>
    <row r="57" ht="60.5635" customHeight="1">
      <c r="A57" s="1" t="n"/>
      <c r="B57" s="21" t="inlineStr">
        <is>
          <t>8. El sistema contra el olor</t>
        </is>
      </c>
      <c r="C57" s="22" t="inlineStr">
        <is>
          <t>Son cuatro cosas trabajando juntas. El sello de caucho que ya se explicó. Un cajoncito con aserrín o biochar que la familia echa por encima después de cada uso, y que absorbe el agua libre, que es lo que carga el olor. Un cartucho con 250 gramos de carbón activado, que es carbón lleno de poros microscópicos que atrapan las moléculas del olor. Y una válvula de una sola vía que deja salir el gas de la fermentación pero no deja entrar aire ni salir olor.</t>
        </is>
      </c>
      <c r="D57" s="22" t="n"/>
      <c r="E57" s="22" t="n"/>
      <c r="F57" s="22" t="n"/>
      <c r="G57" s="22" t="n"/>
      <c r="H57" s="1" t="n"/>
    </row>
    <row r="58" ht="76.81799999999998" customHeight="1">
      <c r="A58" s="1" t="n"/>
      <c r="B58" s="19" t="inlineStr">
        <is>
          <t>9. La electrónica y la antena</t>
        </is>
      </c>
      <c r="C58" s="20" t="inlineStr">
        <is>
          <t>Una tarjeta verde del tamaño de una tarjeta de crédito, con tres cosas soldadas: el cerebro, que es un chip que cuesta menos de siete mil pesos; el radio, que es el que manda el aviso; y la parte de potencia, que es el interruptor electrónico que le da corriente al motor. La tarjeta va en un compartimento sellado, montado POR ENCIMA de la zona húmeda, para que si algo se derrama no le caiga. La antena NO está en la tarjeta: es una pieza aparte, escondida en el rincón delantero izquierdo del mueble y unida a la tarjeta por un cable coaxial. La hoja 5 explica dónde va exactamente, de qué tamaño es y en qué frecuencia trabaja, porque de eso depende que el aviso llegue.</t>
        </is>
      </c>
      <c r="D58" s="20" t="n"/>
      <c r="E58" s="20" t="n"/>
      <c r="F58" s="20" t="n"/>
      <c r="G58" s="20" t="n"/>
      <c r="H58" s="1" t="n"/>
    </row>
    <row r="59" ht="44.309" customHeight="1">
      <c r="A59" s="1" t="n"/>
      <c r="B59" s="21" t="inlineStr">
        <is>
          <t>10. La corriente</t>
        </is>
      </c>
      <c r="C59" s="22" t="inlineStr">
        <is>
          <t>Se enchufa a un tomacorriente normal de 110 voltios. Adentro, una fuente convierte esos 110 voltios en los 24 que usa el motor. El aparato está diseñado con doble aislamiento, que quiere decir que no necesita el tercer polo de tierra: eso es importante porque muchas casas de autoconstrucción en Usme tienen tomas de dos patas.</t>
        </is>
      </c>
      <c r="D59" s="22" t="n"/>
      <c r="E59" s="22" t="n"/>
      <c r="F59" s="22" t="n"/>
      <c r="G59" s="22" t="n"/>
      <c r="H59" s="1" t="n"/>
    </row>
    <row r="60" ht="10" customHeight="1">
      <c r="A60" s="1" t="n"/>
      <c r="B60" s="1" t="n"/>
      <c r="C60" s="1" t="n"/>
      <c r="D60" s="1" t="n"/>
      <c r="E60" s="1" t="n"/>
      <c r="F60" s="1" t="n"/>
      <c r="G60" s="1" t="n"/>
      <c r="H60" s="1" t="n"/>
    </row>
    <row r="61" ht="20" customHeight="1">
      <c r="A61" s="1" t="n"/>
      <c r="B61" s="23" t="inlineStr">
        <is>
          <t>El detalle técnico del aparato está en la hoja 5</t>
        </is>
      </c>
      <c r="C61" s="23" t="n"/>
      <c r="D61" s="23" t="n"/>
      <c r="E61" s="23" t="n"/>
      <c r="F61" s="23" t="n"/>
      <c r="G61" s="23" t="n"/>
      <c r="H61" s="1" t="n"/>
    </row>
    <row r="62" ht="114.88" customHeight="1">
      <c r="A62" s="1" t="n"/>
      <c r="B62" s="24" t="inlineStr">
        <is>
          <t>Hay una pregunta que conviene responder antes que ninguna otra, porque de ella depende que el aparato sea real y no un dibujo: por dónde baja el residuo si debajo de la cámara de molido está el motor. La respuesta corta es que el material no sale por el fondo sino por el borde, empujado por fuerza centrífuga contra un anillo de corte, igual que en un triturador de fregadero. La respuesta larga —la forma exacta de la salida, el ducto, cómo se evita que el material se quede en el eje, dónde va la antena y en qué frecuencia trabaja, cómo se integra la báscula y por dónde circula el aire— está en la hoja «Detalle del Aparato», junto con la medida y la posición exacta de las veinticinco piezas dentro del chasis, el orden en que se arma y el despiece con el costo de cada grupo.
En esa misma hoja está el segundo modelo del aparato, el de los establecimientos comerciales, que es más grande, va en acero inoxidable y descarga en un contenedor rodante en lugar de una bolsa.</t>
        </is>
      </c>
      <c r="C62" s="24" t="n"/>
      <c r="D62" s="24" t="n"/>
      <c r="E62" s="24" t="n"/>
      <c r="F62" s="24" t="n"/>
      <c r="G62" s="24" t="n"/>
      <c r="H62" s="1" t="n"/>
    </row>
    <row r="63" ht="12" customHeight="1">
      <c r="A63" s="1" t="n"/>
      <c r="B63" s="1" t="n"/>
      <c r="C63" s="1" t="n"/>
      <c r="D63" s="1" t="n"/>
      <c r="E63" s="1" t="n"/>
      <c r="F63" s="1" t="n"/>
      <c r="G63" s="1" t="n"/>
      <c r="H63" s="1" t="n"/>
    </row>
    <row r="64" ht="20" customHeight="1">
      <c r="A64" s="1" t="n"/>
      <c r="B64" s="5" t="inlineStr">
        <is>
          <t>4.3  Qué pasa, paso a paso, cuando la familia lo usa</t>
        </is>
      </c>
      <c r="C64" s="5" t="n"/>
      <c r="D64" s="5" t="n"/>
      <c r="E64" s="5" t="n"/>
      <c r="F64" s="5" t="n"/>
      <c r="G64" s="5" t="n"/>
      <c r="H64" s="1" t="n"/>
    </row>
    <row r="65" ht="97.34999999999999" customHeight="1">
      <c r="A65" s="1" t="n"/>
      <c r="B65" s="15" t="inlineStr">
        <is>
          <t>Primero, la señora levanta la tapa y echa las cáscaras del almuerzo. Segundo, cierra la tapa; el imán le avisa al cerebro y el interruptor de seguridad cierra el circuito del motor. Tercero, el aparato espera dos segundos y hace un pito: eso es a propósito, para que si alguien dejó la mano adentro alcance a sacarla. Cuarto, el molino gira entre 25 y 45 segundos según cuánto haya dentro, y el gancho de la tapa queda trabado mientras tanto para que nadie la abra. Quinto, el motor frena de golpe —en menos de un segundo, porque se cortocircuita el inducido— y el gancho se suelta. Sexto, la báscula pesa lo que quedó en el cajón y la pantallita muestra cuánto pesó y cuántos puntos ganó la familia en ese momento, no al mes siguiente. Séptimo, cuando el cajón llega al 85 % —unos 12 kilos— el aparato manda el aviso. Y octavo, el operario llega, escanea el carné, revisa que no haya plástico, se lleva la bolsa y deja una nueva. Todo eso, para una familia de cuatro personas, ocurre aproximadamente cada nueve o diez días.</t>
        </is>
      </c>
      <c r="C65" s="15" t="n"/>
      <c r="D65" s="15" t="n"/>
      <c r="E65" s="15" t="n"/>
      <c r="F65" s="15" t="n"/>
      <c r="G65" s="15" t="n"/>
      <c r="H65" s="1" t="n"/>
    </row>
    <row r="66" ht="10" customHeight="1">
      <c r="A66" s="1" t="n"/>
      <c r="B66" s="1" t="n"/>
      <c r="C66" s="1" t="n"/>
      <c r="D66" s="1" t="n"/>
      <c r="E66" s="1" t="n"/>
      <c r="F66" s="1" t="n"/>
      <c r="G66" s="1" t="n"/>
      <c r="H66" s="1" t="n"/>
    </row>
    <row r="67" ht="20" customHeight="1">
      <c r="A67" s="1" t="n"/>
      <c r="B67" s="5" t="inlineStr">
        <is>
          <t>4.4  Cómo manda el aviso sin internet y sin gastarle datos a nadie</t>
        </is>
      </c>
      <c r="C67" s="5" t="n"/>
      <c r="D67" s="5" t="n"/>
      <c r="E67" s="5" t="n"/>
      <c r="F67" s="5" t="n"/>
      <c r="G67" s="5" t="n"/>
      <c r="H67" s="1" t="n"/>
    </row>
    <row r="68" ht="49.4" customHeight="1">
      <c r="A68" s="1" t="n"/>
      <c r="B68" s="15" t="inlineStr">
        <is>
          <t>Este era uno de los requisitos difíciles y se resolvió con una tecnología que se llama LoRa, que quiere decir «radio de largo alcance». Funciona parecido a un radioteléfono, no a un celular: el aparato manda un mensajito muy pequeño —12 bytes, que es menos de lo que ocupa esta frase— cuatro veces al día, y ese mensajito viaja por el aire hasta una antena instalada en un punto alto del barrio. En todo un año, un aparato manda apenas 17 kilobytes, que es menos que una foto.</t>
        </is>
      </c>
      <c r="C68" s="15" t="n"/>
      <c r="D68" s="15" t="n"/>
      <c r="E68" s="15" t="n"/>
      <c r="F68" s="15" t="n"/>
      <c r="G68" s="15" t="n"/>
      <c r="H68" s="1" t="n"/>
    </row>
    <row r="69" ht="63.13" customHeight="1">
      <c r="A69" s="1" t="n"/>
      <c r="B69" s="15" t="inlineStr">
        <is>
          <t>Las antenas se instalan en colegios distritales, estaciones del TransMiCable, salones comunales y tanques del acueducto. Son sitios que ya tienen luz, que son altos y que son del Distrito, así que no hay que pagar arriendo. Desde la antena, el dato viaja por internet normal hasta un servidor donde se arma el mapa de la localidad, con cada casa pintada de un color según qué tan lleno está su aparato. Con ese mapa, cada mañana el sistema calcula la ruta del camión pasando solo donde hay algo que recoger.</t>
        </is>
      </c>
      <c r="C69" s="15" t="n"/>
      <c r="D69" s="15" t="n"/>
      <c r="E69" s="15" t="n"/>
      <c r="F69" s="15" t="n"/>
      <c r="G69" s="15" t="n"/>
      <c r="H69" s="1" t="n"/>
    </row>
    <row r="70" ht="49.4" customHeight="1">
      <c r="A70" s="1" t="n"/>
      <c r="B70" s="15" t="inlineStr">
        <is>
          <t>Dos detalles que importan. El primero: esto cuesta entre $1,280 y $6,880 por aparato al año, mientras que usar una SIM de celular costaría unos $55,800, es decir 43 veces más. El segundo: en Usme hay cañadas muy hondas donde la señal de radio no llega. Para esas, el propio camión recolector lleva un lector que recoge los datos por Bluetooth al pasar por el frente. Así se cubre el 100 % de las casas: unas en el momento, otras cuando pasa el camión.</t>
        </is>
      </c>
      <c r="C70" s="15" t="n"/>
      <c r="D70" s="15" t="n"/>
      <c r="E70" s="15" t="n"/>
      <c r="F70" s="15" t="n"/>
      <c r="G70" s="15" t="n"/>
      <c r="H70" s="1" t="n"/>
    </row>
    <row r="71" ht="10" customHeight="1">
      <c r="A71" s="1" t="n"/>
      <c r="B71" s="1" t="n"/>
      <c r="C71" s="1" t="n"/>
      <c r="D71" s="1" t="n"/>
      <c r="E71" s="1" t="n"/>
      <c r="F71" s="1" t="n"/>
      <c r="G71" s="1" t="n"/>
      <c r="H71" s="1" t="n"/>
    </row>
    <row r="72" ht="20" customHeight="1">
      <c r="A72" s="1" t="n"/>
      <c r="B72" s="5" t="inlineStr">
        <is>
          <t>4.5  Cómo eso se convierte en fertilizante de verdad, y de calidad certificable</t>
        </is>
      </c>
      <c r="C72" s="5" t="n"/>
      <c r="D72" s="5" t="n"/>
      <c r="E72" s="5" t="n"/>
      <c r="F72" s="5" t="n"/>
      <c r="G72" s="5" t="n"/>
      <c r="H72" s="1" t="n"/>
    </row>
    <row r="73" ht="35.59999999999999" customHeight="1">
      <c r="A73" s="1" t="n"/>
      <c r="B73" s="15" t="inlineStr">
        <is>
          <t>Aquí conviene ser preciso, porque lo que sale del aparato TODAVÍA NO ES ABONO. Es comida molida. El abono se hace en la planta, y el proceso tiene reglas biológicas que hay que respetar o el producto no sirve y no se puede vender.</t>
        </is>
      </c>
      <c r="C73" s="15" t="n"/>
      <c r="D73" s="15" t="n"/>
      <c r="E73" s="15" t="n"/>
      <c r="F73" s="15" t="n"/>
      <c r="G73" s="15" t="n"/>
      <c r="H73" s="1" t="n"/>
    </row>
    <row r="74" ht="30" customHeight="1">
      <c r="A74" s="1" t="n"/>
      <c r="B74" s="18" t="inlineStr">
        <is>
          <t>Paso del proceso</t>
        </is>
      </c>
      <c r="C74" s="18" t="inlineStr">
        <is>
          <t>Qué pasa ahí y por qué importa</t>
        </is>
      </c>
      <c r="D74" s="18" t="n"/>
      <c r="E74" s="18" t="n"/>
      <c r="F74" s="18" t="n"/>
      <c r="G74" s="18" t="n"/>
      <c r="H74" s="1" t="n"/>
    </row>
    <row r="75" ht="44.309" customHeight="1">
      <c r="A75" s="1" t="n"/>
      <c r="B75" s="19" t="inlineStr">
        <is>
          <t>Paso 0 · Por qué se muele, pero no demasiado</t>
        </is>
      </c>
      <c r="C75" s="20" t="inlineStr">
        <is>
          <t>El molido acelera todo lo que viene después, porque los microorganismos atacan la superficie del material y moler multiplica esa superficie. Pero hay un límite: si se muele demasiado fino, queda un puré que se apelmaza, no le entra aire y se pudre en vez de compostarse. Por eso el aparato deja pedazos de 5 a 15 milímetros y no menos. Ese detalle es lo que diferencia un insumo bueno de un lodo maloliente.</t>
        </is>
      </c>
      <c r="D75" s="20" t="n"/>
      <c r="E75" s="20" t="n"/>
      <c r="F75" s="20" t="n"/>
      <c r="G75" s="20" t="n"/>
      <c r="H75" s="1" t="n"/>
    </row>
    <row r="76" ht="44.309" customHeight="1">
      <c r="A76" s="1" t="n"/>
      <c r="B76" s="21" t="inlineStr">
        <is>
          <t>Paso 1 · Recepción y control de calidad de entrada</t>
        </is>
      </c>
      <c r="C76" s="22" t="inlineStr">
        <is>
          <t>El material llega a la planta, se pesa en báscula y se revisa lote por lote. Si viene con plástico, vidrio o metal, se registra el porcentaje de rechazo y ese dato baja la puntuación de los hogares de esa microrruta. Este control es lo que protege la calidad del producto final.</t>
        </is>
      </c>
      <c r="D76" s="22" t="n"/>
      <c r="E76" s="22" t="n"/>
      <c r="F76" s="22" t="n"/>
      <c r="G76" s="22" t="n"/>
      <c r="H76" s="1" t="n"/>
    </row>
    <row r="77" ht="44.309" customHeight="1">
      <c r="A77" s="1" t="n"/>
      <c r="B77" s="19" t="inlineStr">
        <is>
          <t>Paso 2 · Mezcla para equilibrar carbono y nitrógeno</t>
        </is>
      </c>
      <c r="C77" s="20" t="inlineStr">
        <is>
          <t>La comida es rica en nitrógeno y pobre en carbono. Si se composta sola, el exceso de nitrógeno se escapa como amoníaco —ese olor a orines— y se pierde el nutriente más valioso. Por eso se mezcla con material seco rico en carbono: aserrín, viruta, poda triturada o cascarilla. La proporción que se busca es de unas 25 a 30 partes de carbono por una de nitrógeno.</t>
        </is>
      </c>
      <c r="D77" s="20" t="n"/>
      <c r="E77" s="20" t="n"/>
      <c r="F77" s="20" t="n"/>
      <c r="G77" s="20" t="n"/>
      <c r="H77" s="1" t="n"/>
    </row>
    <row r="78" ht="44.309" customHeight="1">
      <c r="A78" s="1" t="n"/>
      <c r="B78" s="21" t="inlineStr">
        <is>
          <t>Paso 3 · Formación de pilas y fase caliente</t>
        </is>
      </c>
      <c r="C78" s="22" t="inlineStr">
        <is>
          <t>La mezcla se apila en montones de forma alargada. En dos o tres días los microorganismos empiezan a trabajar y la pila se calienta sola hasta entre 55 y 65 grados. Esa fase caliente es obligatoria y no es opcional: es la que mata las bacterias peligrosas como la salmonela y los huevos de parásitos, y es lo que exige la norma para poder vender el producto. Hay que sostener esa temperatura varios días seguidos y dejar registro.</t>
        </is>
      </c>
      <c r="D78" s="22" t="n"/>
      <c r="E78" s="22" t="n"/>
      <c r="F78" s="22" t="n"/>
      <c r="G78" s="22" t="n"/>
      <c r="H78" s="1" t="n"/>
    </row>
    <row r="79" ht="44.309" customHeight="1">
      <c r="A79" s="1" t="n"/>
      <c r="B79" s="19" t="inlineStr">
        <is>
          <t>Paso 4 · Volteo y aireación</t>
        </is>
      </c>
      <c r="C79" s="20" t="inlineStr">
        <is>
          <t>La pila se voltea periódicamente, sea con máquina o con minicargador. Volteando se logran tres cosas: se le mete aire, porque sin aire el proceso se vuelve podredumbre; se empareja la temperatura, para que el material de las orillas también pase por la fase caliente; y se controla la humedad, que debe quedar como una esponja exprimida, ni chorreando ni seca.</t>
        </is>
      </c>
      <c r="D79" s="20" t="n"/>
      <c r="E79" s="20" t="n"/>
      <c r="F79" s="20" t="n"/>
      <c r="G79" s="20" t="n"/>
      <c r="H79" s="1" t="n"/>
    </row>
    <row r="80" ht="44.309" customHeight="1">
      <c r="A80" s="1" t="n"/>
      <c r="B80" s="21" t="inlineStr">
        <is>
          <t>Paso 5 · Maduración</t>
        </is>
      </c>
      <c r="C80" s="22" t="inlineStr">
        <is>
          <t>Cuando la pila deja de calentarse sola, el material todavía no está listo. Necesita entre uno y dos meses más de reposo, en los que la materia se estabiliza y se forman las sustancias húmicas, que son las que de verdad le sirven al suelo. Un compost inmaduro aplicado a un cultivo le quita nitrógeno a la planta en vez de dárselo, y puede quemar la raíz. Saltarse este paso es el error más común.</t>
        </is>
      </c>
      <c r="D80" s="22" t="n"/>
      <c r="E80" s="22" t="n"/>
      <c r="F80" s="22" t="n"/>
      <c r="G80" s="22" t="n"/>
      <c r="H80" s="1" t="n"/>
    </row>
    <row r="81" ht="44.309" customHeight="1">
      <c r="A81" s="1" t="n"/>
      <c r="B81" s="19" t="inlineStr">
        <is>
          <t>Paso 6 · Tamizado y presentación</t>
        </is>
      </c>
      <c r="C81" s="20" t="inlineStr">
        <is>
          <t>El material maduro se pasa por una zaranda giratoria que separa lo fino de lo grueso. Lo grueso vuelve a la pila como material de arranque. Lo fino se empaca a granel para los cultivos grandes, o en bultos para jardinería, que es donde mejor se paga.</t>
        </is>
      </c>
      <c r="D81" s="20" t="n"/>
      <c r="E81" s="20" t="n"/>
      <c r="F81" s="20" t="n"/>
      <c r="G81" s="20" t="n"/>
      <c r="H81" s="1" t="n"/>
    </row>
    <row r="82" ht="44.309" customHeight="1">
      <c r="A82" s="1" t="n"/>
      <c r="B82" s="21" t="inlineStr">
        <is>
          <t>Paso 7 · Análisis de laboratorio y registro legal</t>
        </is>
      </c>
      <c r="C82" s="22" t="inlineStr">
        <is>
          <t>Cada lote se analiza para medir materia orgánica, humedad, acidez, relación entre carbono y nitrógeno, metales pesados y ausencia de patógenos. Esos son los parámetros que fija la norma técnica NTC 5167. Con esos análisis se tramita ante el ICA el registro de productor y el registro del producto, que es lo que legalmente permite vender. Sin ese registro, vender abono es ilegal, sin importar qué tan bueno sea.</t>
        </is>
      </c>
      <c r="D82" s="22" t="n"/>
      <c r="E82" s="22" t="n"/>
      <c r="F82" s="22" t="n"/>
      <c r="G82" s="22" t="n"/>
      <c r="H82" s="1" t="n"/>
    </row>
    <row r="83" ht="44.309" customHeight="1">
      <c r="A83" s="1" t="n"/>
      <c r="B83" s="19" t="inlineStr">
        <is>
          <t>Paso 8 · Del residuo al producto: cuánto sale</t>
        </is>
      </c>
      <c r="C83" s="20" t="inlineStr">
        <is>
          <t>De cada tonelada de comida que entra salen unos 400 kilos de abono. El resto se va como agua evaporada y como gas durante el proceso; eso es normal y esperado. El estudio del Ministerio de Vivienda observó rendimientos de hasta 600 kilos por tonelada en plantas reales; este proyecto usa 400 para ser prudente.</t>
        </is>
      </c>
      <c r="D83" s="20" t="n"/>
      <c r="E83" s="20" t="n"/>
      <c r="F83" s="20" t="n"/>
      <c r="G83" s="20" t="n"/>
      <c r="H83" s="1" t="n"/>
    </row>
    <row r="84" ht="10" customHeight="1">
      <c r="A84" s="1" t="n"/>
      <c r="B84" s="1" t="n"/>
      <c r="C84" s="1" t="n"/>
      <c r="D84" s="1" t="n"/>
      <c r="E84" s="1" t="n"/>
      <c r="F84" s="1" t="n"/>
      <c r="G84" s="1" t="n"/>
      <c r="H84" s="1" t="n"/>
    </row>
    <row r="85" ht="20" customHeight="1">
      <c r="A85" s="1" t="n"/>
      <c r="B85" s="25" t="inlineStr">
        <is>
          <t>Qué significa que el abono sea de calidad</t>
        </is>
      </c>
      <c r="C85" s="25" t="n"/>
      <c r="D85" s="25" t="n"/>
      <c r="E85" s="25" t="n"/>
      <c r="F85" s="25" t="n"/>
      <c r="G85" s="25" t="n"/>
      <c r="H85" s="1" t="n"/>
    </row>
    <row r="86" ht="73.39599999999999" customHeight="1">
      <c r="A86" s="1" t="n"/>
      <c r="B86" s="26" t="inlineStr">
        <is>
          <t>Qué hace que el abono sea «de calidad» y no simplemente tierra oscura. Tres cosas medibles y certificables. Primera, que esté maduro: que ya no se caliente solo, que huela a tierra de bosque y no a podrido, y que la relación entre carbono y nitrógeno haya bajado a menos de veinte. Segunda, que sea sanitariamente seguro: que haya pasado por la fase caliente el tiempo suficiente y que el laboratorio confirme ausencia de salmonela y de huevos de parásitos. Tercera, que sea limpio: sin pedazos de plástico ni vidrio, y con metales pesados por debajo del límite. Esas tres cosas son exactamente lo que mide la norma NTC 5167, y son la diferencia entre un producto que el ICA registra y uno que no. Por eso el control de calidad empieza en la cocina de la casa y no en la planta: un lote contaminado en la fuente ya no se puede salvar después.</t>
        </is>
      </c>
      <c r="C86" s="26" t="n"/>
      <c r="D86" s="26" t="n"/>
      <c r="E86" s="26" t="n"/>
      <c r="F86" s="26" t="n"/>
      <c r="G86" s="26" t="n"/>
      <c r="H86" s="1" t="n"/>
    </row>
    <row r="87" ht="12" customHeight="1">
      <c r="A87" s="1" t="n"/>
      <c r="B87" s="1" t="n"/>
      <c r="C87" s="1" t="n"/>
      <c r="D87" s="1" t="n"/>
      <c r="E87" s="1" t="n"/>
      <c r="F87" s="1" t="n"/>
      <c r="G87" s="1" t="n"/>
      <c r="H87" s="1" t="n"/>
    </row>
    <row r="88" ht="20" customHeight="1">
      <c r="A88" s="1" t="n"/>
      <c r="B88" s="5" t="inlineStr">
        <is>
          <t>4.6  Las bolsas: de dónde salen, quién las paga y de qué son</t>
        </is>
      </c>
      <c r="C88" s="5" t="n"/>
      <c r="D88" s="5" t="n"/>
      <c r="E88" s="5" t="n"/>
      <c r="F88" s="5" t="n"/>
      <c r="G88" s="5" t="n"/>
      <c r="H88" s="1" t="n"/>
    </row>
    <row r="89" ht="80.23999999999999" customHeight="1">
      <c r="A89" s="1" t="n"/>
      <c r="B89" s="15" t="inlineStr">
        <is>
          <t>La bolsa viene ya puesta en el cajón desde que se instala el aparato, y la familia nunca la pone ni la quita. Encaja por su borde elástico en una ranura que recorre todo el reborde superior del cajón, de manera que queda abierta, tensa y sin caerse adentro. Cada semana el operario abre el cajón, tira del cordón que la bolsa trae integrado en la boca —con lo cual se cierra sola, sin nudo y sin que nadie toque el contenido—, la saca, encaja una nueva y cierra. Son unos quince segundos. En la base del cajón hay un compartimento con diez bolsas de reserva, que el operario repone en la misma visita y que están ahí para que la familia pueda cambiar una por su cuenta si se rompe o se derrama algo, sin esperar a la ruta. No hay mecanismo ni corredera: el reborde y el compartimento son parte del mismo molde del cajón.</t>
        </is>
      </c>
      <c r="C89" s="15" t="n"/>
      <c r="D89" s="15" t="n"/>
      <c r="E89" s="15" t="n"/>
      <c r="F89" s="15" t="n"/>
      <c r="G89" s="15" t="n"/>
      <c r="H89" s="1" t="n"/>
    </row>
    <row r="90" ht="63.13" customHeight="1">
      <c r="A90" s="1" t="n"/>
      <c r="B90" s="15" t="inlineStr">
        <is>
          <t>Las bolsas son de almidón de maíz o de yuca mezclado con un poliéster biodegradable, no de plástico común, y deben estar certificadas como compostables bajo la norma técnica NTC 5511. Esa certificación no es un detalle administrativo: una bolsa de plástico corriente contamina el lote entero y hace que el compost no cumpla los requisitos del ICA, con lo cual no se podría vender. La bolsa certificada, en cambio, se degrada junto con la comida dentro de la pila de compostaje y no hay que retirarla en la planta.</t>
        </is>
      </c>
      <c r="C90" s="15" t="n"/>
      <c r="D90" s="15" t="n"/>
      <c r="E90" s="15" t="n"/>
      <c r="F90" s="15" t="n"/>
      <c r="G90" s="15" t="n"/>
      <c r="H90" s="1" t="n"/>
    </row>
    <row r="91" ht="63.2" customHeight="1">
      <c r="A91" s="1" t="n"/>
      <c r="B91" s="15" t="inlineStr">
        <is>
          <t>Cada bolsa cuesta alrededor de $300 fabricándola en Colombia a volumen, y se usan veintiséis al año, una por cada recolección quincenal, lo que equivale a $7,800 por hogar al año. Las paga el programa, no la familia: el operario deja la bolsa nueva ya puesta durante la ruta, junto con el cartucho de carbón cuando corresponde y el material seco. Esta decisión es deliberada y es una de las que sostienen el proyecto: en un hogar de estrato 1, cualquier costo recurrente que deba asumir la familia termina en que el aparato se deja de usar al segundo o tercer mes. Las bolsas se fabrican en Colombia, lo que además reduce el costo del programa y genera encadenamiento productivo local.</t>
        </is>
      </c>
      <c r="C91" s="15" t="n"/>
      <c r="D91" s="15" t="n"/>
      <c r="E91" s="15" t="n"/>
      <c r="F91" s="15" t="n"/>
      <c r="G91" s="15" t="n"/>
      <c r="H91" s="1" t="n"/>
    </row>
    <row r="92" ht="8" customHeight="1">
      <c r="A92" s="1" t="n"/>
      <c r="B92" s="1" t="n"/>
      <c r="C92" s="1" t="n"/>
      <c r="D92" s="1" t="n"/>
      <c r="E92" s="1" t="n"/>
      <c r="F92" s="1" t="n"/>
      <c r="G92" s="1" t="n"/>
      <c r="H92" s="1" t="n"/>
    </row>
    <row r="93" ht="20" customHeight="1">
      <c r="A93" s="1" t="n"/>
      <c r="B93" s="5" t="inlineStr">
        <is>
          <t>4.7  Cuánto cuesta el aparato y en cuánto se vende</t>
        </is>
      </c>
      <c r="C93" s="5" t="n"/>
      <c r="D93" s="5" t="n"/>
      <c r="E93" s="5" t="n"/>
      <c r="F93" s="5" t="n"/>
      <c r="G93" s="5" t="n"/>
      <c r="H93" s="1" t="n"/>
    </row>
    <row r="94" ht="77" customHeight="1">
      <c r="A94" s="1" t="n"/>
      <c r="B94" s="15" t="inlineStr">
        <is>
          <t>El aparato se entrega sin costo a las familias del programa, financiado por el Distrito o por empresas patrocinadoras, pero también puede comprarse directamente. Fabricarlo e instalarlo cuesta $258,044 en pedidos de diez mil unidades, y su precio de venta al público es de $397,000, que puede pagarse en doce cuotas de $33,100. Para dimensionarlo: la compostadora doméstica más barata del mercado internacional se vende al equivalente de $880,000 y solo tiene dos litros de capacidad, frente a los veinte de este equipo, además de consumir entre cuarenta y cincuenta veces más electricidad porque resuelve el olor aplicando calor. El despiece completo, pieza por pieza y con la fuente de cada precio, está en la hoja de Costeo Financiero.</t>
        </is>
      </c>
      <c r="C94" s="15" t="n"/>
      <c r="D94" s="15" t="n"/>
      <c r="E94" s="15" t="n"/>
      <c r="F94" s="15" t="n"/>
      <c r="G94" s="15" t="n"/>
      <c r="H94" s="1" t="n"/>
    </row>
    <row r="95" ht="12" customHeight="1">
      <c r="A95" s="1" t="n"/>
      <c r="B95" s="1" t="n"/>
      <c r="C95" s="1" t="n"/>
      <c r="D95" s="1" t="n"/>
      <c r="E95" s="1" t="n"/>
      <c r="F95" s="1" t="n"/>
      <c r="G95" s="1" t="n"/>
      <c r="H95" s="1" t="n"/>
    </row>
    <row r="96" ht="26" customHeight="1">
      <c r="A96" s="1" t="n"/>
      <c r="B96" s="14" t="inlineStr">
        <is>
          <t>5.   Cómo funciona el negocio y de dónde sale el dinero</t>
        </is>
      </c>
      <c r="C96" s="14" t="n"/>
      <c r="D96" s="14" t="n"/>
      <c r="E96" s="14" t="n"/>
      <c r="F96" s="14" t="n"/>
      <c r="G96" s="14" t="n"/>
      <c r="H96" s="1" t="n"/>
    </row>
    <row r="97" ht="49.4" customHeight="1">
      <c r="A97" s="1" t="n"/>
      <c r="B97" s="15" t="inlineStr">
        <is>
          <t>Hay un punto que conviene entender antes de cualquier cifra: quien usa el servicio no es quien lo paga. La familia de Usme no paga nada y no debe pagar nada, porque un hogar de estrato 1 paga $10,517 al mes de aseo y la parte de ese recibo que este proyecto puede reducir son apenas $2,405. Ahí no hay negocio. El negocio está en cobrarle a quien hoy paga por enterrar.</t>
        </is>
      </c>
      <c r="C97" s="15" t="n"/>
      <c r="D97" s="15" t="n"/>
      <c r="E97" s="15" t="n"/>
      <c r="F97" s="15" t="n"/>
      <c r="G97" s="15" t="n"/>
      <c r="H97" s="1" t="n"/>
    </row>
    <row r="98" ht="30" customHeight="1">
      <c r="A98" s="1" t="n"/>
      <c r="B98" s="18" t="inlineStr">
        <is>
          <t>De dónde sale el dinero</t>
        </is>
      </c>
      <c r="C98" s="18" t="inlineStr">
        <is>
          <t>Cuánto</t>
        </is>
      </c>
      <c r="D98" s="18" t="inlineStr">
        <is>
          <t>Por qué funciona</t>
        </is>
      </c>
      <c r="E98" s="18" t="n"/>
      <c r="F98" s="18" t="n"/>
      <c r="G98" s="18" t="n"/>
      <c r="H98" s="1" t="n"/>
    </row>
    <row r="99" ht="60.5635" customHeight="1">
      <c r="A99" s="1" t="n"/>
      <c r="B99" s="19" t="inlineStr">
        <is>
          <t>El Distrito paga por cada tonelada domiciliaria recogida y tratada</t>
        </is>
      </c>
      <c r="C99" s="27" t="n">
        <v>150000</v>
      </c>
      <c r="D99" s="20" t="inlineStr">
        <is>
          <t>Es el ingreso ancla y tiene base legal firme. El artículo 31 de la Resolución CRA 720 de 2015 permite trasladar a la tarifa el costo de las alternativas al relleno, con tope en la suma de disposición final y lixiviados, que es $66,493. A eso se suma el componente de recolección y transporte, $124,696, que el programa presta efectivamente y que el operador ordinario deja de prestar sobre esas toneladas. El techo conjunto es $191,190: cobrando $150,000 la ciudad se ahorra $41,190 por tonelada.</t>
        </is>
      </c>
      <c r="E99" s="20" t="n"/>
      <c r="F99" s="20" t="n"/>
      <c r="G99" s="20" t="n"/>
      <c r="H99" s="1" t="n"/>
    </row>
    <row r="100" ht="60.5635" customHeight="1">
      <c r="A100" s="1" t="n"/>
      <c r="B100" s="21" t="inlineStr">
        <is>
          <t>Colegios, plazas y restaurantes pagan por recoger</t>
        </is>
      </c>
      <c r="C100" s="28" t="n">
        <v>100000</v>
      </c>
      <c r="D100" s="22" t="inlineStr">
        <is>
          <t>Es el ingreso que vuelve viable el conjunto. No hay que regalarles aparatos, el residuo llega concentrado y una sola parada rinde cientos de kilos, de modo que el costo de recogerlo es una fracción del domiciliario. El Ministerio de Vivienda reporta que las plantas del país cobran entre $30,000 y $250,000 por tonelada recibida, y que la mayoría necesita cerca de $100,000 para sostenerse.</t>
        </is>
      </c>
      <c r="E100" s="22" t="n"/>
      <c r="F100" s="22" t="n"/>
      <c r="G100" s="22" t="n"/>
      <c r="H100" s="1" t="n"/>
    </row>
    <row r="101" ht="44.309" customHeight="1">
      <c r="A101" s="1" t="n"/>
      <c r="B101" s="19" t="inlineStr">
        <is>
          <t>Venta del abono, en tres presentaciones</t>
        </is>
      </c>
      <c r="C101" s="27" t="n">
        <v>338500</v>
      </c>
      <c r="D101" s="20" t="inlineStr">
        <is>
          <t>A granel para papa a $250,000 la tonelada, humus de lombriz para flores a $395,000 y empacado para jardinería entre $650,000 y $800,000. La mezcla sube el precio promedio sin procesar una tonelada más.</t>
        </is>
      </c>
      <c r="E101" s="20" t="n"/>
      <c r="F101" s="20" t="n"/>
      <c r="G101" s="20" t="n"/>
      <c r="H101" s="1" t="n"/>
    </row>
    <row r="102" ht="8" customHeight="1">
      <c r="A102" s="1" t="n"/>
      <c r="B102" s="1" t="n"/>
      <c r="C102" s="1" t="n"/>
      <c r="D102" s="1" t="n"/>
      <c r="E102" s="1" t="n"/>
      <c r="F102" s="1" t="n"/>
      <c r="G102" s="1" t="n"/>
      <c r="H102" s="1" t="n"/>
    </row>
    <row r="103" ht="20" customHeight="1">
      <c r="A103" s="1" t="n"/>
      <c r="B103" s="29" t="inlineStr">
        <is>
          <t>¿Le conviene esto a la ciudad?</t>
        </is>
      </c>
      <c r="C103" s="29" t="n"/>
      <c r="D103" s="29" t="n"/>
      <c r="E103" s="29" t="n"/>
      <c r="F103" s="29" t="n"/>
      <c r="G103" s="29" t="n"/>
      <c r="H103" s="1" t="n"/>
    </row>
    <row r="104" ht="88.795" customHeight="1">
      <c r="A104" s="1" t="n"/>
      <c r="B104" s="30" t="inlineStr">
        <is>
          <t>Hoy la ciudad paga $191,190 por cada tonelada de comida que sale de una casa de Usme: $124,696 por recogerla y llevarla hasta Doña Juana, $45,541 por enterrarla en el relleno y $20,953 por tratar el líquido que suelta al descomponerse. A cambio de ese dinero no recibe nada: la tonelada queda bajo tierra produciendo metano durante décadas y ocupando un relleno que se agota. Este programa reemplaza esos tres servicios y cobra $150,000, es decir $41,190 menos por tonelada, un 21.5 % de ahorro. Y además la ciudad recibe unos 500 kilos de abono vendido a los agricultores de la Sabana, evita 0.8 toneladas de CO₂, no genera lixiviado, crea empleo formal en Usme y suma una tonelada verificable a la meta que se fijó por decreto y que hoy cumple en un 0.03 %. Ahora bien, el programa no se paga solo: sus ingresos cubren una cuarta parte de lo que cuesta operarlo, y la diferencia —descontado lo que la ciudad deja de gastar— equivale a $9,656 por hogar al mes. Es un servicio público, no un negocio, y así hay que juzgarlo. Las cuentas completas, con la estructura de costos, las fuentes de ingreso, el resultado y el beneficio, están en la hoja de Costeo Financiero.</t>
        </is>
      </c>
      <c r="C104" s="30" t="n"/>
      <c r="D104" s="30" t="n"/>
      <c r="E104" s="30" t="n"/>
      <c r="F104" s="30" t="n"/>
      <c r="G104" s="30" t="n"/>
      <c r="H104" s="1" t="n"/>
    </row>
    <row r="105" ht="12" customHeight="1">
      <c r="A105" s="1" t="n"/>
      <c r="B105" s="1" t="n"/>
      <c r="C105" s="1" t="n"/>
      <c r="D105" s="1" t="n"/>
      <c r="E105" s="1" t="n"/>
      <c r="F105" s="1" t="n"/>
      <c r="G105" s="1" t="n"/>
      <c r="H105" s="1" t="n"/>
    </row>
    <row r="106" ht="34.22" customHeight="1">
      <c r="A106" s="1" t="n"/>
      <c r="B106" s="31" t="inlineStr">
        <is>
          <t>El análisis del entorno que condiciona el proyecto se desarrolla en la hoja de Análisis PESTA, el modelo de negocio en la hoja de Modelo Canvas y todas las cifras en la hoja de Costeo Financiero.</t>
        </is>
      </c>
      <c r="C106" s="31" t="n"/>
      <c r="D106" s="31" t="n"/>
      <c r="E106" s="31" t="n"/>
      <c r="F106" s="31" t="n"/>
      <c r="G106" s="31" t="n"/>
      <c r="H106" s="1" t="n"/>
    </row>
    <row r="107">
      <c r="A107" s="1" t="n"/>
      <c r="B107" s="1" t="n"/>
      <c r="C107" s="1" t="n"/>
      <c r="D107" s="1" t="n"/>
      <c r="E107" s="1" t="n"/>
      <c r="F107" s="1" t="n"/>
      <c r="G107" s="1" t="n"/>
      <c r="H107" s="1" t="n"/>
    </row>
    <row r="108">
      <c r="A108" s="1" t="n"/>
      <c r="B108" s="1" t="n"/>
      <c r="C108" s="1" t="n"/>
      <c r="D108" s="1" t="n"/>
      <c r="E108" s="1" t="n"/>
      <c r="F108" s="1" t="n"/>
      <c r="G108" s="1" t="n"/>
      <c r="H108" s="1" t="n"/>
    </row>
    <row r="109">
      <c r="A109" s="1" t="n"/>
      <c r="B109" s="1" t="n"/>
      <c r="C109" s="1" t="n"/>
      <c r="D109" s="1" t="n"/>
      <c r="E109" s="1" t="n"/>
      <c r="F109" s="1" t="n"/>
      <c r="G109" s="1" t="n"/>
      <c r="H109" s="1" t="n"/>
    </row>
  </sheetData>
  <mergeCells count="74">
    <mergeCell ref="B2:G2"/>
    <mergeCell ref="C49:G49"/>
    <mergeCell ref="C77:G77"/>
    <mergeCell ref="B42:G42"/>
    <mergeCell ref="C83:G83"/>
    <mergeCell ref="B67:G67"/>
    <mergeCell ref="C58:G58"/>
    <mergeCell ref="B17:G17"/>
    <mergeCell ref="B61:G61"/>
    <mergeCell ref="C78:G78"/>
    <mergeCell ref="B73:G73"/>
    <mergeCell ref="B13:G13"/>
    <mergeCell ref="B88:G88"/>
    <mergeCell ref="D98:G98"/>
    <mergeCell ref="C74:G74"/>
    <mergeCell ref="B29:G29"/>
    <mergeCell ref="B69:G69"/>
    <mergeCell ref="C79:G79"/>
    <mergeCell ref="B19:G19"/>
    <mergeCell ref="B103:G103"/>
    <mergeCell ref="B10:G10"/>
    <mergeCell ref="B37:G37"/>
    <mergeCell ref="C54:G54"/>
    <mergeCell ref="C50:G50"/>
    <mergeCell ref="B65:G65"/>
    <mergeCell ref="D100:G100"/>
    <mergeCell ref="B40:G40"/>
    <mergeCell ref="C55:G55"/>
    <mergeCell ref="C75:G75"/>
    <mergeCell ref="B68:G68"/>
    <mergeCell ref="B64:G64"/>
    <mergeCell ref="B15:G15"/>
    <mergeCell ref="B33:G33"/>
    <mergeCell ref="C80:G80"/>
    <mergeCell ref="B6:G6"/>
    <mergeCell ref="B24:G24"/>
    <mergeCell ref="C56:G56"/>
    <mergeCell ref="D99:G99"/>
    <mergeCell ref="C59:G59"/>
    <mergeCell ref="B104:G104"/>
    <mergeCell ref="B89:G89"/>
    <mergeCell ref="B85:G85"/>
    <mergeCell ref="B36:G36"/>
    <mergeCell ref="B94:G94"/>
    <mergeCell ref="B45:G45"/>
    <mergeCell ref="C51:G51"/>
    <mergeCell ref="D101:G101"/>
    <mergeCell ref="C76:G76"/>
    <mergeCell ref="B4:G4"/>
    <mergeCell ref="B106:G106"/>
    <mergeCell ref="B86:G86"/>
    <mergeCell ref="B97:G97"/>
    <mergeCell ref="C52:G52"/>
    <mergeCell ref="B62:G62"/>
    <mergeCell ref="B91:G91"/>
    <mergeCell ref="B25:G25"/>
    <mergeCell ref="B72:G72"/>
    <mergeCell ref="B3:G3"/>
    <mergeCell ref="C82:G82"/>
    <mergeCell ref="B46:G46"/>
    <mergeCell ref="B90:G90"/>
    <mergeCell ref="C81:G81"/>
    <mergeCell ref="B31:G31"/>
    <mergeCell ref="B27:G27"/>
    <mergeCell ref="B93:G93"/>
    <mergeCell ref="C57:G57"/>
    <mergeCell ref="B43:G43"/>
    <mergeCell ref="C53:G53"/>
    <mergeCell ref="B96:G96"/>
    <mergeCell ref="B70:G70"/>
    <mergeCell ref="B21:G21"/>
    <mergeCell ref="B48:G48"/>
    <mergeCell ref="B39:G39"/>
    <mergeCell ref="B11:G11"/>
  </mergeCells>
  <printOptions horizontalCentered="1"/>
  <pageMargins left="0.4" right="0.4" top="0.5" bottom="0.5" header="0.5" footer="0.5"/>
  <pageSetup orientation="landscape" paperSize="9" fitToHeight="0" fitToWidth="1"/>
  <ignoredErrors>
    <ignoredError sqref="A1:H109" numberStoredAsText="1"/>
  </ignoredErrors>
</worksheet>
</file>

<file path=xl/worksheets/sheet2.xml><?xml version="1.0" encoding="utf-8"?>
<worksheet xmlns="http://schemas.openxmlformats.org/spreadsheetml/2006/main">
  <sheetPr>
    <tabColor rgb="002B4459"/>
    <outlinePr summaryBelow="1" summaryRight="1"/>
    <pageSetUpPr fitToPage="1"/>
  </sheetPr>
  <dimension ref="A1:H104"/>
  <sheetViews>
    <sheetView showGridLines="0" zoomScale="85" workbookViewId="0">
      <pane xSplit="1" ySplit="5" topLeftCell="B6" activePane="bottomRight" state="frozen"/>
      <selection pane="topRight"/>
      <selection pane="bottomLeft"/>
      <selection pane="bottomRight" activeCell="A1" sqref="A1"/>
    </sheetView>
  </sheetViews>
  <sheetFormatPr baseColWidth="8" defaultRowHeight="15"/>
  <cols>
    <col width="2.43" customWidth="1" min="1" max="1"/>
    <col width="19.57" customWidth="1" min="2" max="2"/>
    <col width="62.71" customWidth="1" min="3" max="3"/>
    <col width="76.86" customWidth="1" min="4" max="4"/>
    <col width="13" customWidth="1" min="5" max="5"/>
    <col width="13" customWidth="1" min="6" max="6"/>
    <col width="73.14" customWidth="1" min="7" max="7"/>
    <col width="2.43" customWidth="1" min="8" max="8"/>
  </cols>
  <sheetData>
    <row r="1">
      <c r="A1" s="1" t="n"/>
      <c r="B1" s="1" t="n"/>
      <c r="C1" s="1" t="n"/>
      <c r="D1" s="1" t="n"/>
      <c r="E1" s="1" t="n"/>
      <c r="F1" s="1" t="n"/>
      <c r="G1" s="1" t="n"/>
      <c r="H1" s="1" t="n"/>
    </row>
    <row r="2" ht="46" customHeight="1">
      <c r="A2" s="1" t="n"/>
      <c r="B2" s="2" t="inlineStr">
        <is>
          <t>ANÁLISIS PESTA</t>
        </is>
      </c>
      <c r="C2" s="2" t="n"/>
      <c r="D2" s="2" t="n"/>
      <c r="E2" s="2" t="n"/>
      <c r="F2" s="2" t="n"/>
      <c r="G2" s="2" t="n"/>
      <c r="H2" s="1" t="n"/>
    </row>
    <row r="3" ht="24" customHeight="1">
      <c r="A3" s="1" t="n"/>
      <c r="B3" s="3" t="inlineStr">
        <is>
          <t>Factores Políticos, Económicos, Sociales, Tecnológicos y Ambientales   ·   Bogotá, Usme y la Sabana   ·   Evidencia 2022-2026</t>
        </is>
      </c>
      <c r="C3" s="3" t="n"/>
      <c r="D3" s="3" t="n"/>
      <c r="E3" s="3" t="n"/>
      <c r="F3" s="3" t="n"/>
      <c r="G3" s="3" t="n"/>
      <c r="H3" s="1" t="n"/>
    </row>
    <row r="4" ht="20" customHeight="1">
      <c r="A4" s="1" t="n"/>
      <c r="B4" s="23" t="inlineStr">
        <is>
          <t>Cómo leer este análisis</t>
        </is>
      </c>
      <c r="C4" s="23" t="n"/>
      <c r="D4" s="23" t="n"/>
      <c r="E4" s="23" t="n"/>
      <c r="F4" s="23" t="n"/>
      <c r="G4" s="23" t="n"/>
      <c r="H4" s="1" t="n"/>
    </row>
    <row r="5" ht="158.0905" customHeight="1">
      <c r="A5" s="1" t="n"/>
      <c r="B5" s="24" t="inlineStr">
        <is>
          <t>QUÉ ES Y PARA QUÉ SIRVE
El análisis PESTA examina de forma ordenada las condiciones del entorno que el proyecto no controla pero que determinan su viabilidad. Se agrupan en cinco factores, de los que toma su nombre: Político, Económico, Social, Tecnológico y Ambiental. Cada aspecto identificado se clasifica como oportunidad, cuando favorece al proyecto, o como amenaza, cuando lo limita o lo pone en riesgo.
CÓMO SE LEE
Cada fila presenta el factor al que pertenece, el aspecto específico, su descripción con las cifras y la implicación concreta para el proyecto, la clasificación como oportunidad o amenaza mediante una equis en la columna correspondiente, y la fuente documental de la que proviene la información. La referencia completa de cada fuente, con su enlace, está en la hoja de Fuentes y Bibliografía.
Se incluyen deliberadamente las amenazas que cuestionan aspectos del planteamiento. Un análisis que presentara únicamente condiciones favorables no serviría para tomar decisiones.</t>
        </is>
      </c>
      <c r="C5" s="24" t="n"/>
      <c r="D5" s="24" t="n"/>
      <c r="E5" s="24" t="n"/>
      <c r="F5" s="24" t="n"/>
      <c r="G5" s="24" t="n"/>
      <c r="H5" s="1" t="n"/>
    </row>
    <row r="6" ht="12" customHeight="1">
      <c r="A6" s="1" t="n"/>
      <c r="B6" s="1" t="n"/>
      <c r="C6" s="1" t="n"/>
      <c r="D6" s="1" t="n"/>
      <c r="E6" s="1" t="n"/>
      <c r="F6" s="1" t="n"/>
      <c r="G6" s="1" t="n"/>
      <c r="H6" s="1" t="n"/>
    </row>
    <row r="7" ht="20" customHeight="1">
      <c r="A7" s="1" t="n"/>
      <c r="B7" s="5" t="inlineStr">
        <is>
          <t>Panorama general</t>
        </is>
      </c>
      <c r="C7" s="5" t="n"/>
      <c r="D7" s="5" t="n"/>
      <c r="E7" s="5" t="n"/>
      <c r="F7" s="5" t="n"/>
      <c r="G7" s="5" t="n"/>
      <c r="H7" s="1" t="n"/>
    </row>
    <row r="8" ht="30" customHeight="1">
      <c r="A8" s="1" t="n"/>
      <c r="B8" s="18" t="inlineStr">
        <is>
          <t>Factor</t>
        </is>
      </c>
      <c r="C8" s="18" t="inlineStr">
        <is>
          <t>Qué examina este factor</t>
        </is>
      </c>
      <c r="D8" s="18" t="inlineStr">
        <is>
          <t>Aspectos</t>
        </is>
      </c>
      <c r="E8" s="18" t="inlineStr">
        <is>
          <t>Oportunidades</t>
        </is>
      </c>
      <c r="F8" s="18" t="inlineStr">
        <is>
          <t>Amenazas</t>
        </is>
      </c>
      <c r="G8" s="18" t="inlineStr">
        <is>
          <t>Conclusión del factor</t>
        </is>
      </c>
      <c r="H8" s="1" t="n"/>
    </row>
    <row r="9" ht="93.07249999999999" customHeight="1">
      <c r="A9" s="1" t="n"/>
      <c r="B9" s="32" t="inlineStr">
        <is>
          <t>POLÍTICO</t>
        </is>
      </c>
      <c r="C9" s="20" t="inlineStr">
        <is>
          <t>Las leyes vigentes, los compromisos que el Estado ya firmó y las prohibiciones que limitan lo que se puede hacer. Es el factor más determinante del proyecto, porque de decisiones regulatorias depende tanto el ingreso principal como la forma del incentivo a las familias.</t>
        </is>
      </c>
      <c r="D9" s="33" t="n">
        <v>12</v>
      </c>
      <c r="E9" s="34" t="n">
        <v>8</v>
      </c>
      <c r="F9" s="35" t="n">
        <v>4</v>
      </c>
      <c r="G9" s="20" t="inlineStr">
        <is>
          <t>El marco de política respalda el proyecto y el artículo 31 de la Resolución CRA 720 habilita el ingreso principal, pero la ley impide el descuento en la factura y obliga a canalizar el incentivo por otra vía.</t>
        </is>
      </c>
      <c r="H9" s="1" t="n"/>
    </row>
    <row r="10" ht="60.5635" customHeight="1">
      <c r="A10" s="1" t="n"/>
      <c r="B10" s="36" t="inlineStr">
        <is>
          <t>ECONÓMICO</t>
        </is>
      </c>
      <c r="C10" s="22" t="inlineStr">
        <is>
          <t>Cuánto cuesta hoy hacer las cosas como se hacen, qué precios tiene el mercado, de dónde puede salir el dinero y cuánto puede pagar cada actor. Aquí se responde si el proyecto se sostiene.</t>
        </is>
      </c>
      <c r="D10" s="37" t="n">
        <v>11</v>
      </c>
      <c r="E10" s="38" t="n">
        <v>6</v>
      </c>
      <c r="F10" s="39" t="n">
        <v>5</v>
      </c>
      <c r="G10" s="22" t="inlineStr">
        <is>
          <t>El costo evitado de disposición sostiene la tesis y la línea institucional aporta el margen; la venta de abono por sí sola no cubre la operación y la recolección domiciliaria es el principal determinante del costo.</t>
        </is>
      </c>
      <c r="H10" s="1" t="n"/>
    </row>
    <row r="11" ht="60.5635" customHeight="1">
      <c r="A11" s="1" t="n"/>
      <c r="B11" s="40" t="inlineStr">
        <is>
          <t>SOCIAL</t>
        </is>
      </c>
      <c r="C11" s="20" t="inlineStr">
        <is>
          <t>Cómo vive la gente de Usme, qué puede pagar, quiénes ya trabajan en esta actividad y qué es lo que realmente hace que una familia cambie una costumbre diaria.</t>
        </is>
      </c>
      <c r="D11" s="33" t="n">
        <v>12</v>
      </c>
      <c r="E11" s="34" t="n">
        <v>5</v>
      </c>
      <c r="F11" s="35" t="n">
        <v>7</v>
      </c>
      <c r="G11" s="20" t="inlineStr">
        <is>
          <t>El territorio reúne necesidad, mano de obra y un precedente que funciona; la evidencia internacional advierte que el incentivo económico no es el motor de la conducta.</t>
        </is>
      </c>
      <c r="H11" s="1" t="n"/>
    </row>
    <row r="12" ht="60.5635" customHeight="1">
      <c r="A12" s="1" t="n"/>
      <c r="B12" s="41" t="inlineStr">
        <is>
          <t>TECNOLÓGICO</t>
        </is>
      </c>
      <c r="C12" s="22" t="inlineStr">
        <is>
          <t>Qué se puede construir, con qué se comunica el aparato, qué límites legales hay para las antenas y qué tan maduras están las alternativas técnicas.</t>
        </is>
      </c>
      <c r="D12" s="37" t="n">
        <v>12</v>
      </c>
      <c r="E12" s="38" t="n">
        <v>9</v>
      </c>
      <c r="F12" s="39" t="n">
        <v>3</v>
      </c>
      <c r="G12" s="22" t="inlineStr">
        <is>
          <t>La solución es viable y de bajo costo. Dos decisiones la definen: no aplicar calor al residuo y operar en la banda de 915 a 928 megahercios con el plan de frecuencias AU915.</t>
        </is>
      </c>
      <c r="H12" s="1" t="n"/>
    </row>
    <row r="13" ht="60.5635" customHeight="1">
      <c r="A13" s="1" t="n"/>
      <c r="B13" s="42" t="inlineStr">
        <is>
          <t>AMBIENTAL</t>
        </is>
      </c>
      <c r="C13" s="20" t="inlineStr">
        <is>
          <t>Qué daño evita el proyecto, cuánto vale ese daño evitado en cifras verificables, y qué riesgos ambientales debe gestionar la operación por sí misma.</t>
        </is>
      </c>
      <c r="D13" s="33" t="n">
        <v>12</v>
      </c>
      <c r="E13" s="34" t="n">
        <v>4</v>
      </c>
      <c r="F13" s="35" t="n">
        <v>8</v>
      </c>
      <c r="G13" s="20" t="inlineStr">
        <is>
          <t>El beneficio climático está cuantificado y es considerable, aunque el crédito de carbono se reduce por la captura de biogás existente en el relleno.</t>
        </is>
      </c>
      <c r="H13" s="1" t="n"/>
    </row>
    <row r="14" ht="16" customHeight="1">
      <c r="A14" s="1" t="n"/>
      <c r="B14" s="1" t="n"/>
      <c r="C14" s="1" t="n"/>
      <c r="D14" s="1" t="n"/>
      <c r="E14" s="1" t="n"/>
      <c r="F14" s="1" t="n"/>
      <c r="G14" s="1" t="n"/>
      <c r="H14" s="1" t="n"/>
    </row>
    <row r="15" ht="28" customHeight="1">
      <c r="A15" s="1" t="n"/>
      <c r="B15" s="43" t="inlineStr">
        <is>
          <t>Factor político</t>
        </is>
      </c>
      <c r="C15" s="43" t="n"/>
      <c r="D15" s="43" t="n"/>
      <c r="E15" s="43" t="n"/>
      <c r="F15" s="43" t="n"/>
      <c r="G15" s="43" t="n"/>
      <c r="H15" s="1" t="n"/>
    </row>
    <row r="16" ht="34.22" customHeight="1">
      <c r="A16" s="1" t="n"/>
      <c r="B16" s="44" t="inlineStr">
        <is>
          <t>Las leyes vigentes, los compromisos que el Estado ya firmó y las prohibiciones que limitan lo que se puede hacer. Es el factor más determinante del proyecto, porque de decisiones regulatorias depende tanto el ingreso principal como la forma del incentivo a las familias.</t>
        </is>
      </c>
      <c r="C16" s="44" t="n"/>
      <c r="D16" s="44" t="n"/>
      <c r="E16" s="44" t="n"/>
      <c r="F16" s="44" t="n"/>
      <c r="G16" s="44" t="n"/>
      <c r="H16" s="1" t="n"/>
    </row>
    <row r="17" ht="4" customHeight="1">
      <c r="A17" s="1" t="n"/>
      <c r="B17" s="1" t="n"/>
      <c r="C17" s="1" t="n"/>
      <c r="D17" s="1" t="n"/>
      <c r="E17" s="1" t="n"/>
      <c r="F17" s="1" t="n"/>
      <c r="G17" s="1" t="n"/>
      <c r="H17" s="1" t="n"/>
    </row>
    <row r="18" ht="30" customHeight="1">
      <c r="A18" s="1" t="n"/>
      <c r="B18" s="45" t="inlineStr">
        <is>
          <t>FACTOR</t>
        </is>
      </c>
      <c r="C18" s="45" t="inlineStr">
        <is>
          <t>ASPECTO</t>
        </is>
      </c>
      <c r="D18" s="45" t="inlineStr">
        <is>
          <t>DESCRIPCIÓN</t>
        </is>
      </c>
      <c r="E18" s="45" t="inlineStr">
        <is>
          <t>OPORTUNIDAD</t>
        </is>
      </c>
      <c r="F18" s="45" t="inlineStr">
        <is>
          <t>AMENAZA</t>
        </is>
      </c>
      <c r="G18" s="45" t="inlineStr">
        <is>
          <t>BIBLIOGRAFÍA</t>
        </is>
      </c>
      <c r="H18" s="1" t="n"/>
    </row>
    <row r="19" ht="141.836" customHeight="1">
      <c r="A19" s="1" t="n"/>
      <c r="B19" s="46" t="inlineStr">
        <is>
          <t>POLÍTICO</t>
        </is>
      </c>
      <c r="C19" s="19" t="inlineStr">
        <is>
          <t>Meta distrital vinculante de tratamiento de orgánicos</t>
        </is>
      </c>
      <c r="D19" s="20" t="inlineStr">
        <is>
          <t>El Plan de Gestión Integral de Residuos Sólidos de Bogotá, adoptado por el Decreto Distrital 484 de 2024, fija dos metas obligatorias: reducir en 20 % los residuos enviados al relleno y tratar como mínimo el 20 % de los residuos orgánicos que hoy se entierran. El Plan Distrital de Desarrollo 2024-2027 agrega la meta de bajar a 10.1 millones de toneladas de CO₂ equivalente en 2027 y de avanzar hacia la eliminación gradual del relleno en 2032. Hoy la ciudad trata el 0.03 % de esos residuos. Recoevo le ofrece al Distrito el cumplimiento medido de una obligación que ya firmó y que no puede alcanzar con la infraestructura existente.</t>
        </is>
      </c>
      <c r="E19" s="34" t="inlineStr">
        <is>
          <t>X</t>
        </is>
      </c>
      <c r="F19" s="35" t="inlineStr"/>
      <c r="G19" s="47" t="inlineStr">
        <is>
          <t>UAESP, Documento Técnico de Soporte del PGIRS 2024; Decreto Distrital 484 de 2024
https://www.uaesp.gov.co/sites/default/files/planeacion/pgirs2025/DTS_PGIRS_2024.pdf
https://www.uaesp.gov.co/sites/default/files/planeacion/pgirs2025/decreto-484-de-2024.pdf</t>
        </is>
      </c>
      <c r="H19" s="1" t="n"/>
    </row>
    <row r="20" ht="125.5815" customHeight="1">
      <c r="A20" s="1" t="n"/>
      <c r="B20" s="48" t="inlineStr">
        <is>
          <t>POLÍTICO</t>
        </is>
      </c>
      <c r="C20" s="21" t="inlineStr">
        <is>
          <t>Política nacional favorable a la sustitución del enterramiento</t>
        </is>
      </c>
      <c r="D20" s="22" t="inlineStr">
        <is>
          <t>El CONPES 3874 de 2016 estableció la transición hacia la economía circular. La Ley 2294 de 2023, que adoptó el Plan Nacional de Desarrollo, creó el Programa Basura Cero para incentivar la eliminación del enterramiento mediante parques tecnológicos y ambientales. El Decreto 670 de 2025 fija estrategias para disminuir la disposición final e impulsa la conversión de rellenos sanitarios en parques de tratamiento. El proyecto se alinea con la política nacional en lugar de competir con ella, lo que facilita permisos, convenios y acceso a recursos públicos.</t>
        </is>
      </c>
      <c r="E20" s="38" t="inlineStr">
        <is>
          <t>X</t>
        </is>
      </c>
      <c r="F20" s="39" t="inlineStr"/>
      <c r="G20" s="49" t="inlineStr">
        <is>
          <t>CONPES 3874 de 2016; Ley 2294 de 2023; Decreto 670 de 2025
https://www.minambiente.gov.co/documento-normativa/conpes-3874-de-2016/
https://www.funcionpublica.gov.co/eva/gestornormativo/norma.php?i=209510</t>
        </is>
      </c>
      <c r="H20" s="1" t="n"/>
    </row>
    <row r="21" ht="190.5995" customHeight="1">
      <c r="A21" s="1" t="n"/>
      <c r="B21" s="46" t="inlineStr">
        <is>
          <t>POLÍTICO</t>
        </is>
      </c>
      <c r="C21" s="19" t="inlineStr">
        <is>
          <t>Vía tarifaria para remunerar el tratamiento: artículo 31 de la Resolución CRA 720</t>
        </is>
      </c>
      <c r="D21" s="20" t="inlineStr">
        <is>
          <t>El artículo 31 de la Resolución CRA 720 de 2015 permite emplear alternativas a la disposición final en relleno sanitario y trasladar su costo a la tarifa del servicio de aseo, con dos condiciones: contar con los permisos ambientales y que el valor trasladado no exceda la suma del Costo de Disposición Final y el Costo de Tratamiento de Lixiviados, que juntos ascienden a $66,493 por tonelada. Existe precedente de una empresa operando bajo esta figura en el país. A ese componente se suma el de Recolección y Transporte, $124,696 por tonelada, que el programa presta de forma efectiva y que el operador ordinario deja de prestar sobre esas mismas toneladas: el techo conjunto es entonces $191,190. Sobre esa base se estructura el contrato con el Distrito a $150,000 por tonelada, por debajo del tope y $41,190 por debajo de lo que la ciudad gasta hoy enterrando.</t>
        </is>
      </c>
      <c r="E21" s="34" t="inlineStr">
        <is>
          <t>X</t>
        </is>
      </c>
      <c r="F21" s="35" t="inlineStr"/>
      <c r="G21" s="47" t="inlineStr">
        <is>
          <t>Resolución CRA 720 de 2015, artículo 31; Witteveen+Bos y MAG Consultoría para el Banco Mundial, 2021
https://www.promoambientaldistrito.com/wp-content/uploads/2018/09/Resolucion-CRA-720-de-2015.pdf
https://www.minvivienda.gov.co/sites/default/files/documentos/20210806-entregable-1-v5-definitiva_0.pdf</t>
        </is>
      </c>
      <c r="H21" s="1" t="n"/>
    </row>
    <row r="22" ht="141.836" customHeight="1">
      <c r="A22" s="1" t="n"/>
      <c r="B22" s="48" t="inlineStr">
        <is>
          <t>POLÍTICO</t>
        </is>
      </c>
      <c r="C22" s="21" t="inlineStr">
        <is>
          <t>El tratamiento de residuos orgánicos no tiene remuneración propia en ciudades grandes</t>
        </is>
      </c>
      <c r="D22" s="22" t="inlineStr">
        <is>
          <t>La Resolución CRA 720 de 2015, que rige para municipios de más de 5,000 suscriptores, no incluye un componente tarifario que remunere la actividad de tratamiento. La Resolución CRA 853 de 2018 sí lo incluye, tomando como referencia el compostaje en pilas con aireación, pero solo aplica a municipios pequeños y a operadores que reciben hasta 300 toneladas mensuales. El propio PGIRS de Bogotá lo reconoce: la tarifa actual es insuficiente para el cierre financiero de los proyectos de tratamiento de orgánicos. Es el cuello de botella estructural del sector y explica por qué el mercado está vacío.</t>
        </is>
      </c>
      <c r="E22" s="38" t="inlineStr"/>
      <c r="F22" s="39" t="inlineStr">
        <is>
          <t>X</t>
        </is>
      </c>
      <c r="G22" s="49" t="inlineStr">
        <is>
          <t>Resolución CRA 720 de 2015; Resolución CRA 853 de 2018; UAESP, DTS del PGIRS 2024
https://www.uaesp.gov.co/sites/default/files/planeacion/pgirs2025/DTS_PGIRS_2024.pdf
https://www.promoambientaldistrito.com/wp-content/uploads/2018/09/Resolucion-CRA-720-de-2015.pdf</t>
        </is>
      </c>
      <c r="H22" s="1" t="n"/>
    </row>
    <row r="23" ht="206.854" customHeight="1">
      <c r="A23" s="1" t="n"/>
      <c r="B23" s="46" t="inlineStr">
        <is>
          <t>POLÍTICO</t>
        </is>
      </c>
      <c r="C23" s="19" t="inlineStr">
        <is>
          <t>Prohibición legal de descuentos sobre la factura, con salida jurídica identificada</t>
        </is>
      </c>
      <c r="D23" s="20" t="inlineStr">
        <is>
          <t>El numeral 9 del artículo 99 de la Ley 142 de 1994 prohíbe la exoneración y el descuento sobre el capital facturado por servicios públicos domiciliarios, y la Superintendencia lo ratificó en el Concepto 458 de 2008: solo proceden descuentos sobre intereses y únicamente por decisión de la empresa. A ello se suma el principio de neutralidad del artículo 87.2, que impide aplicar tarifas distintas a usuarios del mismo estrato con los mismos costos. Además, los estratos 1 y 2 ya reciben el subsidio máximo legal, 70 % y 40 %. En consecuencia, el incentivo al hogar debe canalizarse por fuera de la factura: pago directo por billetera digital, puntos redimibles en comercios aliados y, en una segunda etapa, pago por cuenta de un tercero sobre la cuenta contrato del usuario conforme al artículo 1630 del Código Civil, figura en la que la tarifa no se altera y solo cambia quién aporta los fondos.</t>
        </is>
      </c>
      <c r="E23" s="34" t="inlineStr"/>
      <c r="F23" s="35" t="inlineStr">
        <is>
          <t>X</t>
        </is>
      </c>
      <c r="G23" s="47" t="inlineStr">
        <is>
          <t>Ley 142 de 1994, artículos 87 y 99; Concepto SSPD 458 de 2008; Acuerdo 830 de 2021 del Concejo de Bogotá
https://www.funcionpublica.gov.co/eva/gestornormativo/norma.php?i=2752
https://normas.cra.gov.co/gestor/docs/concepto_superservicios_0000458_2008.htm</t>
        </is>
      </c>
      <c r="H23" s="1" t="n"/>
    </row>
    <row r="24" ht="125.5815" customHeight="1">
      <c r="A24" s="1" t="n"/>
      <c r="B24" s="48" t="inlineStr">
        <is>
          <t>POLÍTICO</t>
        </is>
      </c>
      <c r="C24" s="21" t="inlineStr">
        <is>
          <t>Ventana de incidencia por el vencimiento del acuerdo distrital de subsidios</t>
        </is>
      </c>
      <c r="D24" s="22" t="inlineStr">
        <is>
          <t>El Acuerdo 830 de 2021 del Concejo de Bogotá, que fija los factores de subsidio y aporte solidario, vence el 31 de diciembre de 2026, y el Concejo debe expedir uno nuevo para el periodo siguiente. Existe un precedente de que el Distrito puede entregar un beneficio económico directo a usuarios de estratos 1 y 2: el Mínimo Vital de Agua del Decreto Distrital 064 de 2012, vigente desde hace más de una década. Es el vehículo natural para convertir el incentivo en política pública permanente, y la oportunidad coincide con la formulación del proyecto.</t>
        </is>
      </c>
      <c r="E24" s="38" t="inlineStr">
        <is>
          <t>X</t>
        </is>
      </c>
      <c r="F24" s="39" t="inlineStr"/>
      <c r="G24" s="49" t="inlineStr">
        <is>
          <t>Acuerdo 830 de 2021, artículo 5; Decreto Distrital 064 de 2012
https://www.alcaldiabogota.gov.co/sisjur//normas/Norma1.jsp?i=120507
https://www.uaesp.gov.co/mipg/documentos-sig/gestionresiduos/manuales/GIR-MN-02%20V1%20Acciones%20Afirmativas%20para%20la%20poblacion%20recicladora.pdf</t>
        </is>
      </c>
      <c r="H24" s="1" t="n"/>
    </row>
    <row r="25" ht="125.5815" customHeight="1">
      <c r="A25" s="1" t="n"/>
      <c r="B25" s="46" t="inlineStr">
        <is>
          <t>POLÍTICO</t>
        </is>
      </c>
      <c r="C25" s="19" t="inlineStr">
        <is>
          <t>Fondo público que financia expresamente el compostaje</t>
        </is>
      </c>
      <c r="D25" s="20" t="inlineStr">
        <is>
          <t>El Decreto 2412 de 2018 creó el Incentivo al Aprovechamiento y Tratamiento de residuos sólidos, financiado con un recargo equivalente al 0.80 % del salario mínimo por cada tonelada dispuesta. En Bogotá ese fondo asciende a unos $34,600 millones al año. El decreto menciona el compostaje y las plantas de tratamiento integral entre las actividades financiables, y a diferencia de otros mecanismos admite que una sociedad comercial prestadora del servicio presente proyecto. La ventanilla se cierra el 30 de marzo de cada año.</t>
        </is>
      </c>
      <c r="E25" s="34" t="inlineStr">
        <is>
          <t>X</t>
        </is>
      </c>
      <c r="F25" s="35" t="inlineStr"/>
      <c r="G25" s="47" t="inlineStr">
        <is>
          <t>Decreto 2412 de 2018; Resolución 176 de 2020 del Ministerio de Vivienda
https://normas.cra.gov.co/gestor/docs/decreto_2412_2018.htm
https://normas.cra.gov.co/gestor/docs/resolucion_minviviendact_0176_2020.htm</t>
        </is>
      </c>
      <c r="H25" s="1" t="n"/>
    </row>
    <row r="26" ht="109.327" customHeight="1">
      <c r="A26" s="1" t="n"/>
      <c r="B26" s="48" t="inlineStr">
        <is>
          <t>POLÍTICO</t>
        </is>
      </c>
      <c r="C26" s="21" t="inlineStr">
        <is>
          <t>Fondo de Desarrollo Local de Usme como fuente de financiación territorial</t>
        </is>
      </c>
      <c r="D26" s="22" t="inlineStr">
        <is>
          <t>El Plan de Desarrollo Local de Usme 2025-2028 está aprobado y cuenta con su propio fondo de inversión. Dado que la capacidad de pago de los hogares es prácticamente nula, esta es la fuente lógica para financiar la fase inicial. La Alcaldía Local puede además aportar algo de mayor valor que el dinero: el predio para la planta, que es uno de los rubros más pesados de la operación, aprovechando que el 86 % del territorio de la localidad es rural.</t>
        </is>
      </c>
      <c r="E26" s="38" t="inlineStr">
        <is>
          <t>X</t>
        </is>
      </c>
      <c r="F26" s="39" t="inlineStr"/>
      <c r="G26" s="49" t="inlineStr">
        <is>
          <t>Plan de Desarrollo Local de Usme 2025-2028
https://www.alcaldiabogota.gov.co/sisjur/normas/Norma1.jsp?i=162358</t>
        </is>
      </c>
      <c r="H26" s="1" t="n"/>
    </row>
    <row r="27" ht="125.5815" customHeight="1">
      <c r="A27" s="1" t="n"/>
      <c r="B27" s="46" t="inlineStr">
        <is>
          <t>POLÍTICO</t>
        </is>
      </c>
      <c r="C27" s="19" t="inlineStr">
        <is>
          <t>Aplazamiento del esquema público de recolección de orgánicos</t>
        </is>
      </c>
      <c r="D27" s="20" t="inlineStr">
        <is>
          <t>La licitación del nuevo modelo de aseo de Bogotá estaba prevista para agosto de 2025, pero se prorrogaron los contratos con los cinco operadores actuales hasta noviembre de 2027. El piloto de bolsa verde alcanzará a 300,000 usuarios, es decir el 10 % de la ciudad, y Usme no figura entre los territorios priorizados. Esto abre una ventana de dos a tres años sin oferta pública en la localidad, pero también advierte que el operador público podría entrar después de 2027, momento para el cual el proyecto debe estar instalado y mostrando resultados verificables.</t>
        </is>
      </c>
      <c r="E27" s="34" t="inlineStr">
        <is>
          <t>X</t>
        </is>
      </c>
      <c r="F27" s="35" t="inlineStr"/>
      <c r="G27" s="47" t="inlineStr">
        <is>
          <t>El Espectador, 2025; UAESP
https://www.uaesp.gov.co/sites/default/files/planeacion/pgirs2025/DTS_PGIRS_2024.pdf
https://www.elespectador.com/bogota/</t>
        </is>
      </c>
      <c r="H27" s="1" t="n"/>
    </row>
    <row r="28" ht="125.5815" customHeight="1">
      <c r="A28" s="1" t="n"/>
      <c r="B28" s="48" t="inlineStr">
        <is>
          <t>POLÍTICO</t>
        </is>
      </c>
      <c r="C28" s="21" t="inlineStr">
        <is>
          <t>Registro obligatorio ante el ICA para comercializar el abono</t>
        </is>
      </c>
      <c r="D28" s="22" t="inlineStr">
        <is>
          <t>La Resolución ICA 150 de 2003 obliga a obtener registro de productor y registro de producto antes de comercializar cualquier fertilizante o acondicionador de suelos, y exige cumplir la norma técnica NTC 5167 en materia orgánica, humedad, pH, relación carbono-nitrógeno, metales pesados y ausencia de patógenos, acreditado con análisis de laboratorio. Producir buen compost no basta: hay que poder demostrarlo. Es una barrera que debe presupuestarse, y que al mismo tiempo protege al proyecto frente a competidores informales.</t>
        </is>
      </c>
      <c r="E28" s="38" t="inlineStr"/>
      <c r="F28" s="39" t="inlineStr">
        <is>
          <t>X</t>
        </is>
      </c>
      <c r="G28" s="49" t="inlineStr">
        <is>
          <t>Resolución ICA 150 de 2003; norma técnica NTC 5167
https://www.suin-juriscol.gov.co/viewDocument.asp?ruta=Resolucion/30042205
https://tienda.icontec.org/</t>
        </is>
      </c>
      <c r="H28" s="1" t="n"/>
    </row>
    <row r="29" ht="141.836" customHeight="1">
      <c r="A29" s="1" t="n"/>
      <c r="B29" s="46" t="inlineStr">
        <is>
          <t>POLÍTICO</t>
        </is>
      </c>
      <c r="C29" s="19" t="inlineStr">
        <is>
          <t>Beneficios tributarios vigentes para la inversión y el patrocinio</t>
        </is>
      </c>
      <c r="D29" s="20" t="inlineStr">
        <is>
          <t>El artículo 255 del Estatuto Tributario permite descontar del impuesto de renta el 25 % de las inversiones en control y mejoramiento del medio ambiente, previa certificación de la ANLA, que debe resolverse en un plazo máximo de tres meses. Los artículos 424 y 428 excluyen del IVA los equipos destinados a sistemas de control y monitoreo ambiental, lo que representa un ahorro del 19 % sobre el valor de la maquinaria de planta y de los aparatos. Y el artículo 257 permite a una empresa patrocinadora descontar el 25 % del valor donado a una entidad sin ánimo de lucro, que es la vía fiscal más limpia para canalizar el patrocinio corporativo.</t>
        </is>
      </c>
      <c r="E29" s="34" t="inlineStr">
        <is>
          <t>X</t>
        </is>
      </c>
      <c r="F29" s="35" t="inlineStr"/>
      <c r="G29" s="47" t="inlineStr">
        <is>
          <t>Estatuto Tributario, artículos 255, 257, 424 y 428
https://normograma.dian.gov.co/dian/compilacion/docs/estatuto_tributario.htm</t>
        </is>
      </c>
      <c r="H29" s="1" t="n"/>
    </row>
    <row r="30" ht="125.5815" customHeight="1">
      <c r="A30" s="1" t="n"/>
      <c r="B30" s="48" t="inlineStr">
        <is>
          <t>POLÍTICO</t>
        </is>
      </c>
      <c r="C30" s="21" t="inlineStr">
        <is>
          <t>Mecanismos de financiación que no aplican al proyecto</t>
        </is>
      </c>
      <c r="D30" s="22" t="inlineStr">
        <is>
          <t>Dos instrumentos que suelen darse por sentados quedan descartados tras la verificación. Obras por Impuestos opera únicamente en municipios de zonas afectadas por el conflicto o en programas de desarrollo con enfoque territorial, y Bogotá no figura en ninguno de esos listados. Y la Responsabilidad Extendida del Productor, que obliga a las empresas a hacerse cargo de envases, llantas, pilas o aparatos electrónicos, no cubre residuos de alimentos en Colombia. Descartarlos a tiempo evita perder meses persiguiendo recursos inexistentes.</t>
        </is>
      </c>
      <c r="E30" s="38" t="inlineStr"/>
      <c r="F30" s="39" t="inlineStr">
        <is>
          <t>X</t>
        </is>
      </c>
      <c r="G30" s="49" t="inlineStr">
        <is>
          <t>Decretos 1650 de 2017 y 893 de 2017; Resolución 1407 de 2018
https://www.funcionpublica.gov.co/eva/gestornormativo/</t>
        </is>
      </c>
      <c r="H30" s="1" t="n"/>
    </row>
    <row r="31" ht="16" customHeight="1">
      <c r="A31" s="1" t="n"/>
      <c r="B31" s="1" t="n"/>
      <c r="C31" s="1" t="n"/>
      <c r="D31" s="1" t="n"/>
      <c r="E31" s="1" t="n"/>
      <c r="F31" s="1" t="n"/>
      <c r="G31" s="1" t="n"/>
      <c r="H31" s="1" t="n"/>
    </row>
    <row r="32" ht="28" customHeight="1">
      <c r="A32" s="1" t="n"/>
      <c r="B32" s="50" t="inlineStr">
        <is>
          <t>Factor económico</t>
        </is>
      </c>
      <c r="C32" s="50" t="n"/>
      <c r="D32" s="50" t="n"/>
      <c r="E32" s="50" t="n"/>
      <c r="F32" s="50" t="n"/>
      <c r="G32" s="50" t="n"/>
      <c r="H32" s="1" t="n"/>
    </row>
    <row r="33" ht="28.0545" customHeight="1">
      <c r="A33" s="1" t="n"/>
      <c r="B33" s="51" t="inlineStr">
        <is>
          <t>Cuánto cuesta hoy hacer las cosas como se hacen, qué precios tiene el mercado, de dónde puede salir el dinero y cuánto puede pagar cada actor. Aquí se responde si el proyecto se sostiene.</t>
        </is>
      </c>
      <c r="C33" s="51" t="n"/>
      <c r="D33" s="51" t="n"/>
      <c r="E33" s="51" t="n"/>
      <c r="F33" s="51" t="n"/>
      <c r="G33" s="51" t="n"/>
      <c r="H33" s="1" t="n"/>
    </row>
    <row r="34" ht="4" customHeight="1">
      <c r="A34" s="1" t="n"/>
      <c r="B34" s="1" t="n"/>
      <c r="C34" s="1" t="n"/>
      <c r="D34" s="1" t="n"/>
      <c r="E34" s="1" t="n"/>
      <c r="F34" s="1" t="n"/>
      <c r="G34" s="1" t="n"/>
      <c r="H34" s="1" t="n"/>
    </row>
    <row r="35" ht="30" customHeight="1">
      <c r="A35" s="1" t="n"/>
      <c r="B35" s="52" t="inlineStr">
        <is>
          <t>FACTOR</t>
        </is>
      </c>
      <c r="C35" s="52" t="inlineStr">
        <is>
          <t>ASPECTO</t>
        </is>
      </c>
      <c r="D35" s="52" t="inlineStr">
        <is>
          <t>DESCRIPCIÓN</t>
        </is>
      </c>
      <c r="E35" s="52" t="inlineStr">
        <is>
          <t>OPORTUNIDAD</t>
        </is>
      </c>
      <c r="F35" s="52" t="inlineStr">
        <is>
          <t>AMENAZA</t>
        </is>
      </c>
      <c r="G35" s="52" t="inlineStr">
        <is>
          <t>BIBLIOGRAFÍA</t>
        </is>
      </c>
      <c r="H35" s="1" t="n"/>
    </row>
    <row r="36" ht="125.5815" customHeight="1">
      <c r="A36" s="1" t="n"/>
      <c r="B36" s="53" t="inlineStr">
        <is>
          <t>ECONÓMICO</t>
        </is>
      </c>
      <c r="C36" s="19" t="inlineStr">
        <is>
          <t>Costo evitado de disposición final como precio de referencia</t>
        </is>
      </c>
      <c r="D36" s="20" t="inlineStr">
        <is>
          <t>Según el pliego tarifario del operador de aseo de Usme, disponer una tonelada en el relleno cuesta $45,540,94 y tratar el lixiviado que genera cuesta $20,952,55: en conjunto, $66,493 por tonelada. Si se suma la recolección y el transporte, la cadena completa asciende a $191,190. Esta es la cifra que ancla todo el modelo: cada tonelada desviada representa ese ahorro verificable para el sistema tarifario, y por eso el Distrito puede pagar por el tratamiento sin incurrir en sobrecosto respecto de lo que ya gasta.</t>
        </is>
      </c>
      <c r="E36" s="34" t="inlineStr">
        <is>
          <t>X</t>
        </is>
      </c>
      <c r="F36" s="35" t="inlineStr"/>
      <c r="G36" s="47" t="inlineStr">
        <is>
          <t>Promoambiental Distrito S.A.S. E.S.P., pliego tarifario del ASE 1, octubre de 2025
https://www.promoambientaldistrito.com/Tarifas/202510_ASE01.pdf</t>
        </is>
      </c>
      <c r="H36" s="1" t="n"/>
    </row>
    <row r="37" ht="141.836" customHeight="1">
      <c r="A37" s="1" t="n"/>
      <c r="B37" s="54" t="inlineStr">
        <is>
          <t>ECONÓMICO</t>
        </is>
      </c>
      <c r="C37" s="21" t="inlineStr">
        <is>
          <t>Línea institucional como fuente principal de ingresos</t>
        </is>
      </c>
      <c r="D37" s="22" t="inlineStr">
        <is>
          <t>Colegios distritales, plazas de mercado, comedores comunitarios y restaurantes generan residuo concentrado, limpio y en volumen, sin requerir la entrega de aparatos y con una sola parada que rinde cientos de kilogramos. El diagnóstico del Ministerio de Vivienda reporta que las plantas del país cobran entre $30,000 y $250,000 por tonelada recibida y que la mayoría indica necesitar alrededor de $100,000 para ser rentable. Cobrando entre $90,000 y $100,000 el generador sigue ganando frente a lo que paga hoy, y es esta línea la que sostiene financieramente el componente domiciliario.</t>
        </is>
      </c>
      <c r="E37" s="38" t="inlineStr">
        <is>
          <t>X</t>
        </is>
      </c>
      <c r="F37" s="39" t="inlineStr"/>
      <c r="G37" s="49" t="inlineStr">
        <is>
          <t>Witteveen+Bos y MAG Consultoría para el Banco Mundial y el Ministerio de Vivienda, 2021
https://www.minvivienda.gov.co/sites/default/files/documentos/20210806-entregable-1-v5-definitiva_0.pdf</t>
        </is>
      </c>
      <c r="H37" s="1" t="n"/>
    </row>
    <row r="38" ht="125.5815" customHeight="1">
      <c r="A38" s="1" t="n"/>
      <c r="B38" s="53" t="inlineStr">
        <is>
          <t>ECONÓMICO</t>
        </is>
      </c>
      <c r="C38" s="19" t="inlineStr">
        <is>
          <t>La venta de abono por sí sola no cubre el costo de producirlo</t>
        </is>
      </c>
      <c r="D38" s="20" t="inlineStr">
        <is>
          <t>El diagnóstico oficial del sector, tras visitar las plantas que operan en Colombia, concluye que las empresas no logran cubrir sus costos de inversión ni de operación porque el precio de venta del producto final no alcanza, y que para sostenerse recurren a recursos de otras actividades del servicio o de acueducto y alcantarillado. El precio verificado de venta del subproducto está entre $160,000 y $300,000 por tonelada. Esto obliga a estructurar el modelo sobre el cobro del servicio de tratamiento y no sobre la venta del producto.</t>
        </is>
      </c>
      <c r="E38" s="34" t="inlineStr"/>
      <c r="F38" s="35" t="inlineStr">
        <is>
          <t>X</t>
        </is>
      </c>
      <c r="G38" s="47" t="inlineStr">
        <is>
          <t>Witteveen+Bos y MAG Consultoría para el Banco Mundial y el Ministerio de Vivienda, 2021
https://www.minvivienda.gov.co/sites/default/files/documentos/20210806-entregable-1-v5-definitiva_0.pdf</t>
        </is>
      </c>
      <c r="H38" s="1" t="n"/>
    </row>
    <row r="39" ht="125.5815" customHeight="1">
      <c r="A39" s="1" t="n"/>
      <c r="B39" s="54" t="inlineStr">
        <is>
          <t>ECONÓMICO</t>
        </is>
      </c>
      <c r="C39" s="21" t="inlineStr">
        <is>
          <t>El valor del producto depende de la presentación en que se venda</t>
        </is>
      </c>
      <c r="D39" s="22" t="inlineStr">
        <is>
          <t>El abono a granel para papa y pasto se paga entre $160,000 y $300,000 por tonelada. El humus de lombriz, destinado a floricultura y hortalizas, se paga alrededor de $395,000. Y el producto empacado para jardinería urbana alcanza entre $678,000 y $798,000 por tonelada, aunque absorbe volúmenes pequeños. Vender en las tres presentaciones eleva el precio promedio a $338,500 por tonelada sin procesar una tonelada adicional, lo que equivale a un aumento del 35 % en el ingreso por producto.</t>
        </is>
      </c>
      <c r="E39" s="38" t="inlineStr">
        <is>
          <t>X</t>
        </is>
      </c>
      <c r="F39" s="39" t="inlineStr"/>
      <c r="G39" s="49" t="inlineStr">
        <is>
          <t>Witteveen+Bos y MAG Consultoría, 2021; Tumatera; proveedores de humus vía Infoagro
https://www.minvivienda.gov.co/sites/default/files/documentos/20210806-entregable-1-v5-definitiva_0.pdf
https://tumatera.co/products/bulto-compost-x-50-kg</t>
        </is>
      </c>
      <c r="H39" s="1" t="n"/>
    </row>
    <row r="40" ht="125.5815" customHeight="1">
      <c r="A40" s="1" t="n"/>
      <c r="B40" s="53" t="inlineStr">
        <is>
          <t>ECONÓMICO</t>
        </is>
      </c>
      <c r="C40" s="19" t="inlineStr">
        <is>
          <t>Capacidad de pago nula de los hogares objetivo</t>
        </is>
      </c>
      <c r="D40" s="20" t="inlineStr">
        <is>
          <t>Usme registra 57.81 % de pobreza monetaria, 55.7 % de informalidad laboral y 17.0 % de desempleo. Un hogar de estrato 1 paga $10,517 mensuales por el servicio de aseo tras el subsidio del 70 %, y dentro de esa factura los componentes que el proyecto puede reducir —disposición final y tratamiento de lixiviados— suman apenas $2,405, el 6.9 % del recibo. Queda descartado cualquier esquema de suscripción cobrada al hogar: el usuario del servicio y el cliente que paga deben ser actores distintos.</t>
        </is>
      </c>
      <c r="E40" s="34" t="inlineStr"/>
      <c r="F40" s="35" t="inlineStr">
        <is>
          <t>X</t>
        </is>
      </c>
      <c r="G40" s="47" t="inlineStr">
        <is>
          <t>Encuesta Multipropósito 2021, SDP; Promoambiental Distrito, ASE 1, 2025
https://www.promoambientaldistrito.com/Tarifas/202510_ASE01.pdf
https://www.sdp.gov.co/gestion-estudios-estrategicos/informacion-estadisticas/encuesta-multiproposito/resultados</t>
        </is>
      </c>
      <c r="H40" s="1" t="n"/>
    </row>
    <row r="41" ht="125.5815" customHeight="1">
      <c r="A41" s="1" t="n"/>
      <c r="B41" s="54" t="inlineStr">
        <is>
          <t>ECONÓMICO</t>
        </is>
      </c>
      <c r="C41" s="21" t="inlineStr">
        <is>
          <t>Recolección puerta a puerta como principal determinante del costo</t>
        </is>
      </c>
      <c r="D41" s="22" t="inlineStr">
        <is>
          <t>Cada hogar genera alrededor de 0.17 toneladas de residuo orgánico al año, pero requiere una visita semanal igual que un generador que entrega doscientos kilogramos. El costo de recolección no depende del volumen recogido sino del número de paradas, y en el escenario domiciliario puro el personal representa cerca del 39 % del gasto operativo. Esto determina que el costo por tonelada tratada sea varias veces superior al costo de disposición, y es la razón por la cual la línea institucional resulta indispensable para diluir la estructura de costos.</t>
        </is>
      </c>
      <c r="E41" s="38" t="inlineStr"/>
      <c r="F41" s="39" t="inlineStr">
        <is>
          <t>X</t>
        </is>
      </c>
      <c r="G41" s="49" t="inlineStr">
        <is>
          <t>Modelo de costos propio, hoja de Costeo Financiero
https://www.promoambientaldistrito.com/Tarifas/202510_ASE01.pdf</t>
        </is>
      </c>
      <c r="H41" s="1" t="n"/>
    </row>
    <row r="42" ht="141.836" customHeight="1">
      <c r="A42" s="1" t="n"/>
      <c r="B42" s="53" t="inlineStr">
        <is>
          <t>ECONÓMICO</t>
        </is>
      </c>
      <c r="C42" s="19" t="inlineStr">
        <is>
          <t>Volatilidad estructural del precio de los fertilizantes importados</t>
        </is>
      </c>
      <c r="D42" s="20" t="inlineStr">
        <is>
          <t>Colombia importa cerca del 90 % de los fertilizantes que consume y sus inventarios cubren apenas dos o tres meses. Entre enero de 2021 y mayo de 2022 el bulto de urea de 50 kilogramos pasó de $78,567 a $260,562, un incremento del 231.6 %. En 2026, las disrupciones del Estrecho de Ormuz elevaron la urea internacional a 856.9 dólares por tonelada en abril. En Cundinamarca el bulto cuesta hoy $186,235, un 36.2 % más que un año atrás. El abono orgánico, en contraste, registra un coeficiente de variación del 15.8 % frente al 30.9 % de la urea: la estabilidad de precio es el argumento comercial frente al agricultor.</t>
        </is>
      </c>
      <c r="E42" s="34" t="inlineStr">
        <is>
          <t>X</t>
        </is>
      </c>
      <c r="F42" s="35" t="inlineStr"/>
      <c r="G42" s="47" t="inlineStr">
        <is>
          <t>DANE, sistema SIPSA de precios de insumos, julio de 2026; Banco Mundial, Pink Sheet, septiembre de 2026
https://www.dane.gov.co/files/operaciones/SIPSA/anex-SIPSAinsumosmunicipio-jul2026.xlsx
https://thedocs.worldbank.org/en/doc/74e8be41ceb20fa0da750cda2f6b9e4e-0050012026/related/CMO-Pink-Sheet-September-2026.pdf</t>
        </is>
      </c>
      <c r="H42" s="1" t="n"/>
    </row>
    <row r="43" ht="141.836" customHeight="1">
      <c r="A43" s="1" t="n"/>
      <c r="B43" s="54" t="inlineStr">
        <is>
          <t>ECONÓMICO</t>
        </is>
      </c>
      <c r="C43" s="21" t="inlineStr">
        <is>
          <t>Peso de los fertilizantes en la estructura de costos del agricultor</t>
        </is>
      </c>
      <c r="D43" s="22" t="inlineStr">
        <is>
          <t>Según Fedepapa, los fertilizantes representan el 18.5 % del costo total de producción de la papa variedad Superior y el 19.1 % de la Diacol Capiro en Cundinamarca. La Sabana de Bogotá sembró 76,626 hectáreas en 2025, de las cuales 58,087 corresponden a papa. La correlación con el precio del insumo es verificable: el área sembrada se contrajo 2.6 % en 2022, el año del choque de precios, y se recuperó cuando cedieron. Como el 95 % de las unidades productivas son microempresas, el precio del fertilizante opera además como mecanismo de exclusión de los productores más pequeños.</t>
        </is>
      </c>
      <c r="E43" s="38" t="inlineStr">
        <is>
          <t>X</t>
        </is>
      </c>
      <c r="F43" s="39" t="inlineStr"/>
      <c r="G43" s="49" t="inlineStr">
        <is>
          <t>Fedepapa, Boletín Regional Cundinamarca y Boletín 240; Evaluaciones Agropecuarias Municipales, MADR
https://fedepapa.com/home/wp-content/uploads/2024/10/Regional-Cundinamarca.pdf
https://www.datos.gov.co/resource/uejq-wxrr.json</t>
        </is>
      </c>
      <c r="H43" s="1" t="n"/>
    </row>
    <row r="44" ht="141.836" customHeight="1">
      <c r="A44" s="1" t="n"/>
      <c r="B44" s="53" t="inlineStr">
        <is>
          <t>ECONÓMICO</t>
        </is>
      </c>
      <c r="C44" s="19" t="inlineStr">
        <is>
          <t>Pérdida económica por la baja eficiencia del nitrógeno aplicado</t>
        </is>
      </c>
      <c r="D44" s="20" t="inlineStr">
        <is>
          <t>La literatura agronómica establece que menos del 50 % del nitrógeno aplicado —y con frecuencia solo un 40 %— es efectivamente absorbido por el cultivo; el resto se pierde por lixiviación como nitrato, volatilización como amoníaco y escorrentía. El costo del kilogramo de nitrógeno vía urea, que es de $8,176, asciende en términos efectivos a entre $16,352 y $20,440 por kilogramo realmente aprovechado. Esto constituye simultáneamente una pérdida para el agricultor y la fuente del daño ambiental, y sustenta el argumento de que mejorar el suelo con materia orgánica incrementa el rendimiento del fertilizante que ya se compra.</t>
        </is>
      </c>
      <c r="E44" s="34" t="inlineStr">
        <is>
          <t>X</t>
        </is>
      </c>
      <c r="F44" s="35" t="inlineStr"/>
      <c r="G44" s="47" t="inlineStr">
        <is>
          <t>Literatura agronómica revisada; cálculo propio sobre precios DANE
https://www.dane.gov.co/files/operaciones/SIPSA/anex-SIPSAinsumosmunicipio-jul2026.xlsx
https://www.promoambientaldistrito.com/Tarifas/202510_ASE01.pdf</t>
        </is>
      </c>
      <c r="H44" s="1" t="n"/>
    </row>
    <row r="45" ht="141.836" customHeight="1">
      <c r="A45" s="1" t="n"/>
      <c r="B45" s="54" t="inlineStr">
        <is>
          <t>ECONÓMICO</t>
        </is>
      </c>
      <c r="C45" s="21" t="inlineStr">
        <is>
          <t>Costo laboral real por encima del salario nominal</t>
        </is>
      </c>
      <c r="D45" s="22" t="inlineStr">
        <is>
          <t>El salario mínimo de 2026 es de $1,750,905 más $249,095 de auxilio de transporte, pero el costo efectivo para el empleador incorpora salud, pensión, cesantías, prima, vacaciones, cajas de compensación y la tarifa de ARL, que para manejo de residuos corresponde a la clase IV de riesgo alto con 4,350 %. El factor prestacional total asciende al 42.18 % si la empresa está exonerada de aportes por el artículo 114-1 del Estatuto Tributario, y al 55.68 % si no lo está: un operario cuesta $2,764,188 mensuales y un conductor $3,398,595. Constituirse como sociedad declarante de renta representa un ahorro cercano a $2.8 millones por operario al año.</t>
        </is>
      </c>
      <c r="E45" s="38" t="inlineStr"/>
      <c r="F45" s="39" t="inlineStr">
        <is>
          <t>X</t>
        </is>
      </c>
      <c r="G45" s="49" t="inlineStr">
        <is>
          <t>Decreto Transitorio 0159 de 2026; Decreto 1607 de 2002; Estatuto Tributario, artículo 114-1
https://www.funcionpublica.gov.co/eva/gestornormativo/norma.php?i=84140
https://normograma.dian.gov.co/dian/compilacion/docs/estatuto_tributario.htm</t>
        </is>
      </c>
      <c r="H45" s="1" t="n"/>
    </row>
    <row r="46" ht="141.836" customHeight="1">
      <c r="A46" s="1" t="n"/>
      <c r="B46" s="53" t="inlineStr">
        <is>
          <t>ECONÓMICO</t>
        </is>
      </c>
      <c r="C46" s="19" t="inlineStr">
        <is>
          <t>Competencia establecida en la Sabana de Bogotá</t>
        </is>
      </c>
      <c r="D46" s="20" t="inlineStr">
        <is>
          <t>El Ministerio de Vivienda documentó plantas de compostaje en operación en Cundinamarca: Control Ambiental S.A.S. en Facatativá, funcionando desde 1995, y EkoBojacá S.A.S. E.S.P. en Bojacá desde 2018. En Cajicá opera desde hace más de una década el programa Caneca Verde, que entrega sus residuos orgánicos a un tercero pagando $30,000 por tonelada. Existe por tanto competencia con trayectoria, aunque ninguna con presencia en Usme ni con componente domiciliario tecnificado. Estas plantas son además el punto de referencia más accesible para validar costos e inversión antes de comprometer presupuesto.</t>
        </is>
      </c>
      <c r="E46" s="34" t="inlineStr"/>
      <c r="F46" s="35" t="inlineStr">
        <is>
          <t>X</t>
        </is>
      </c>
      <c r="G46" s="47" t="inlineStr">
        <is>
          <t>Witteveen+Bos y MAG Consultoría, 2021, tabla de iniciativas visitadas
https://www.minvivienda.gov.co/sites/default/files/documentos/20210806-entregable-1-v5-definitiva_0.pdf</t>
        </is>
      </c>
      <c r="H46" s="1" t="n"/>
    </row>
    <row r="47" ht="16" customHeight="1">
      <c r="A47" s="1" t="n"/>
      <c r="B47" s="1" t="n"/>
      <c r="C47" s="1" t="n"/>
      <c r="D47" s="1" t="n"/>
      <c r="E47" s="1" t="n"/>
      <c r="F47" s="1" t="n"/>
      <c r="G47" s="1" t="n"/>
      <c r="H47" s="1" t="n"/>
    </row>
    <row r="48" ht="28" customHeight="1">
      <c r="A48" s="1" t="n"/>
      <c r="B48" s="55" t="inlineStr">
        <is>
          <t>Factor social</t>
        </is>
      </c>
      <c r="C48" s="55" t="n"/>
      <c r="D48" s="55" t="n"/>
      <c r="E48" s="55" t="n"/>
      <c r="F48" s="55" t="n"/>
      <c r="G48" s="55" t="n"/>
      <c r="H48" s="1" t="n"/>
    </row>
    <row r="49" ht="28.0545" customHeight="1">
      <c r="A49" s="1" t="n"/>
      <c r="B49" s="56" t="inlineStr">
        <is>
          <t>Cómo vive la gente de Usme, qué puede pagar, quiénes ya trabajan en esta actividad y qué es lo que realmente hace que una familia cambie una costumbre diaria.</t>
        </is>
      </c>
      <c r="C49" s="56" t="n"/>
      <c r="D49" s="56" t="n"/>
      <c r="E49" s="56" t="n"/>
      <c r="F49" s="56" t="n"/>
      <c r="G49" s="56" t="n"/>
      <c r="H49" s="1" t="n"/>
    </row>
    <row r="50" ht="4" customHeight="1">
      <c r="A50" s="1" t="n"/>
      <c r="B50" s="1" t="n"/>
      <c r="C50" s="1" t="n"/>
      <c r="D50" s="1" t="n"/>
      <c r="E50" s="1" t="n"/>
      <c r="F50" s="1" t="n"/>
      <c r="G50" s="1" t="n"/>
      <c r="H50" s="1" t="n"/>
    </row>
    <row r="51" ht="30" customHeight="1">
      <c r="A51" s="1" t="n"/>
      <c r="B51" s="57" t="inlineStr">
        <is>
          <t>FACTOR</t>
        </is>
      </c>
      <c r="C51" s="57" t="inlineStr">
        <is>
          <t>ASPECTO</t>
        </is>
      </c>
      <c r="D51" s="57" t="inlineStr">
        <is>
          <t>DESCRIPCIÓN</t>
        </is>
      </c>
      <c r="E51" s="57" t="inlineStr">
        <is>
          <t>OPORTUNIDAD</t>
        </is>
      </c>
      <c r="F51" s="57" t="inlineStr">
        <is>
          <t>AMENAZA</t>
        </is>
      </c>
      <c r="G51" s="57" t="inlineStr">
        <is>
          <t>BIBLIOGRAFÍA</t>
        </is>
      </c>
      <c r="H51" s="1" t="n"/>
    </row>
    <row r="52" ht="109.327" customHeight="1">
      <c r="A52" s="1" t="n"/>
      <c r="B52" s="58" t="inlineStr">
        <is>
          <t>SOCIAL</t>
        </is>
      </c>
      <c r="C52" s="19" t="inlineStr">
        <is>
          <t>Origen domiciliario de la fracción orgánica</t>
        </is>
      </c>
      <c r="D52" s="20" t="inlineStr">
        <is>
          <t>El 74 % de los residuos orgánicos de Bogotá proviene de usuarios residenciales, y esa fracción constituye el 53.22 % de todo lo que se entierra en el relleno. En consecuencia, los hogares controlan cerca del 39 % de la masa total que llega a disposición final. El punto de intervención correcto es entonces la cocina de la vivienda: intervenir aguas abajo implicaría recibir el material ya mezclado, lo que reduce a la mitad su valor como materia prima.</t>
        </is>
      </c>
      <c r="E52" s="34" t="inlineStr">
        <is>
          <t>X</t>
        </is>
      </c>
      <c r="F52" s="35" t="inlineStr"/>
      <c r="G52" s="47" t="inlineStr">
        <is>
          <t>UAESP y Universidad Nacional, Guía técnica de aprovechamiento de residuos orgánicos, Contrato 369
https://www.uaesp.gov.co/images/Guia-UAESP_SR.pdf
https://www.uaesp.gov.co/sites/default/files/planeacion/pgirs2025/DTS_PGIRS_2024.pdf</t>
        </is>
      </c>
      <c r="H52" s="1" t="n"/>
    </row>
    <row r="53" ht="125.5815" customHeight="1">
      <c r="A53" s="1" t="n"/>
      <c r="B53" s="59" t="inlineStr">
        <is>
          <t>SOCIAL</t>
        </is>
      </c>
      <c r="C53" s="21" t="inlineStr">
        <is>
          <t>Prueba de concepto domiciliaria en el mismo contexto territorial</t>
        </is>
      </c>
      <c r="D53" s="22" t="inlineStr">
        <is>
          <t>La planta de Mochuelo Bajo, operada por una organización de recicladores a pocos kilómetros de Usme, recolecta residuos orgánicos de 250 familias y escaló de 15 a 80 toneladas por semana, con un proceso de contratación en curso para expandirse a 1,000 hogares. Demuestra que los hogares de estratos bajos separan correctamente cuando existe acompañamiento. La restricción histórica no ha sido la disposición de la ciudadanía sino la ausencia de ruta de recolección, de infraestructura de tratamiento y de cierre financiero.</t>
        </is>
      </c>
      <c r="E53" s="38" t="inlineStr">
        <is>
          <t>X</t>
        </is>
      </c>
      <c r="F53" s="39" t="inlineStr"/>
      <c r="G53" s="49" t="inlineStr">
        <is>
          <t>UAESP, 2025
https://www.uaesp.gov.co/sites/default/files/planeacion/pgirs2025/DTS_PGIRS_2024.pdf</t>
        </is>
      </c>
      <c r="H53" s="1" t="n"/>
    </row>
    <row r="54" ht="174.345" customHeight="1">
      <c r="A54" s="1" t="n"/>
      <c r="B54" s="58" t="inlineStr">
        <is>
          <t>SOCIAL</t>
        </is>
      </c>
      <c r="C54" s="19" t="inlineStr">
        <is>
          <t>El incentivo económico no es el principal determinante de la conducta</t>
        </is>
      </c>
      <c r="D54" s="20" t="inlineStr">
        <is>
          <t>Corea del Sur elevó su tasa de reciclaje de residuos alimentarios del 2.6 % en 1996 al 97.5 % en 2022 mediante un esquema de cobro por peso, no de premio. San Francisco superó el 80 % de desvío con una ordenanza de separación obligatoria. Milán alcanzó más de 90 kilogramos por habitante al año con recolección puerta a puerta de alta frecuencia. En los tres casos el factor determinante fue la obligatoriedad, la conveniencia y la retroalimentación inmediata. El incentivo de Recoevo equivale a $1,500 mensuales abonados a la factura del acueducto, más un paquete en especie de $35,300 al año entre bolsas, carbón y material seco: es un apoyo real pero insuficiente por sí solo para sostener una conducta diaria, y debe diseñarse como refuerzo del acompañamiento, no como su sustituto.</t>
        </is>
      </c>
      <c r="E54" s="34" t="inlineStr"/>
      <c r="F54" s="35" t="inlineStr">
        <is>
          <t>X</t>
        </is>
      </c>
      <c r="G54" s="47" t="inlineStr">
        <is>
          <t>Korea Herald, 2026; Natural Resources Defense Council; POCACITO, estudio de caso de Milán
https://www.koreaherald.com/article/10638389</t>
        </is>
      </c>
      <c r="H54" s="1" t="n"/>
    </row>
    <row r="55" ht="125.5815" customHeight="1">
      <c r="A55" s="1" t="n"/>
      <c r="B55" s="59" t="inlineStr">
        <is>
          <t>SOCIAL</t>
        </is>
      </c>
      <c r="C55" s="21" t="inlineStr">
        <is>
          <t>Mayor efectividad de la separación en vivienda multifamiliar</t>
        </is>
      </c>
      <c r="D55" s="22" t="inlineStr">
        <is>
          <t>En Corea del Sur el mismo sistema alcanzó una cobertura del 81.6 % entre residentes de apartamentos frente al 37.9 % en el conjunto de tipos de vivienda, y la reducción promedio de desperdicio en cinco bloques de Seúl llegó al 51 %. La observabilidad social del comportamiento explica la diferencia. Esto fundamenta la decisión de priorizar conjuntos residenciales y edificios de las UPZ Gran Yomasa y Comuneros, que concentran el 57.7 % de la población de la localidad, antes que vivienda unifamiliar dispersa.</t>
        </is>
      </c>
      <c r="E55" s="38" t="inlineStr">
        <is>
          <t>X</t>
        </is>
      </c>
      <c r="F55" s="39" t="inlineStr"/>
      <c r="G55" s="49" t="inlineStr">
        <is>
          <t>Korea Herald, 2026; SDIS, Ficha local de Usme
https://www.integracionsocial.gov.co/images/_docs/2025/Entidad/localidades/12052025-5-Usme-Diagnostico-2024.pdf
https://www.koreaherald.com/article/10638389</t>
        </is>
      </c>
      <c r="H55" s="1" t="n"/>
    </row>
    <row r="56" ht="109.327" customHeight="1">
      <c r="A56" s="1" t="n"/>
      <c r="B56" s="58" t="inlineStr">
        <is>
          <t>SOCIAL</t>
        </is>
      </c>
      <c r="C56" s="19" t="inlineStr">
        <is>
          <t>Disponibilidad de mano de obra y generación de empleo formal</t>
        </is>
      </c>
      <c r="D56" s="20" t="inlineStr">
        <is>
          <t>Con 55.7 % de informalidad laboral y 17.0 % de desempleo, Usme dispone de mano de obra local. Un programa que vincule formalmente recolectores, operarios de planta y gestores sociales del propio territorio, con todas las prestaciones de ley, genera empleo donde más se requiere y reduce la resistencia comunitaria. Constituye además un argumento decisivo frente a la Alcaldía Local y frente a empresas patrocinadoras que requieren reportar impacto social además de ambiental.</t>
        </is>
      </c>
      <c r="E56" s="34" t="inlineStr">
        <is>
          <t>X</t>
        </is>
      </c>
      <c r="F56" s="35" t="inlineStr"/>
      <c r="G56" s="47" t="inlineStr">
        <is>
          <t>Encuesta Multipropósito 2021; CONPES Distrital 35 de 2023
https://www.alcaldiabogota.gov.co/sisjur/normas/Norma1.jsp?i=150865
https://www.sdp.gov.co/gestion-estudios-estrategicos/informacion-estadisticas/encuesta-multiproposito/resultados</t>
        </is>
      </c>
      <c r="H56" s="1" t="n"/>
    </row>
    <row r="57" ht="141.836" customHeight="1">
      <c r="A57" s="1" t="n"/>
      <c r="B57" s="59" t="inlineStr">
        <is>
          <t>SOCIAL</t>
        </is>
      </c>
      <c r="C57" s="21" t="inlineStr">
        <is>
          <t>Recicladores de oficio como actor social con protección constitucional</t>
        </is>
      </c>
      <c r="D57" s="22" t="inlineStr">
        <is>
          <t>La Corte Constitucional reconoce a la población recicladora como sujeto de especial protección y ordena acciones afirmativas a su favor. En Bogotá hay 488 organizaciones registradas y en Usme operan al menos COOPARAUS y ASOBEUM. Su especialidad es el material reciclable seco, de modo que la actividad de tratamiento de orgánicos no depende de su intermediación; sin embargo, estas organizaciones aportan rutas ya establecidas, conocimiento territorial detallado y legitimidad social que una empresa externa no puede construir en el corto plazo. Su vinculación como aliadas operativas es la decisión estratégicamente correcta.</t>
        </is>
      </c>
      <c r="E57" s="38" t="inlineStr"/>
      <c r="F57" s="39" t="inlineStr">
        <is>
          <t>X</t>
        </is>
      </c>
      <c r="G57" s="49" t="inlineStr">
        <is>
          <t>Corte Constitucional; Decreto 596 de 2016; listado de organizaciones de Área Limpia, abril de 2026
https://normas.cra.gov.co/gestor/docs/decreto_0596_2016.htm
https://arealimpia.com.co/wp-content/uploads/2026/08/TARIFAS_ASE5_2608.pdf</t>
        </is>
      </c>
      <c r="H57" s="1" t="n"/>
    </row>
    <row r="58" ht="125.5815" customHeight="1">
      <c r="A58" s="1" t="n"/>
      <c r="B58" s="58" t="inlineStr">
        <is>
          <t>SOCIAL</t>
        </is>
      </c>
      <c r="C58" s="19" t="inlineStr">
        <is>
          <t>Impacto sanitario inmediato y visible para el vecindario</t>
        </is>
      </c>
      <c r="D58" s="20" t="inlineStr">
        <is>
          <t>Los residuos orgánicos son el sustrato que alimenta roedores y moscas y el origen de los olores en los puntos de acumulación; un punto crítico compuesto exclusivamente por material inorgánico no genera vectores. Usme registra once puntos críticos de arrojo en su área urbana y, a septiembre de 2026, denuncias activas en el Concejo de Bogotá por acumulación de basuras y presencia de roedores en los barrios La Alborada y El Progreso. Este beneficio inmediato resulta más persuasivo para el vecino que el argumento climático.</t>
        </is>
      </c>
      <c r="E58" s="34" t="inlineStr"/>
      <c r="F58" s="35" t="inlineStr">
        <is>
          <t>X</t>
        </is>
      </c>
      <c r="G58" s="47" t="inlineStr">
        <is>
          <t>UAESP, DTS del PGIRS; Infobae, 6 de septiembre de 2026
https://www.uaesp.gov.co/sites/default/files/planeacion/pgirs2025/DTS_PGIRS_2024.pdf
https://www.infobae.com/colombia/</t>
        </is>
      </c>
      <c r="H58" s="1" t="n"/>
    </row>
    <row r="59" ht="125.5815" customHeight="1">
      <c r="A59" s="1" t="n"/>
      <c r="B59" s="59" t="inlineStr">
        <is>
          <t>SOCIAL</t>
        </is>
      </c>
      <c r="C59" s="21" t="inlineStr">
        <is>
          <t>Resistencia comunitaria a la infraestructura de tratamiento</t>
        </is>
      </c>
      <c r="D59" s="22" t="inlineStr">
        <is>
          <t>El PGIRS identifica como causa del déficit de infraestructura la dificultad de socialización y concertación con la población aledaña, atribuida a la poca credibilidad en la mitigación de impactos. La comunidad vecina al relleno Doña Juana realizó plantones y bloqueos durante 2024 solicitando su cierre. La planta de Recoevo debe demostrar control de olores y de vectores antes de instalarse, mediante socialización temprana, visitas de la comunidad a instalaciones en operación y compromisos verificables por escrito.</t>
        </is>
      </c>
      <c r="E59" s="38" t="inlineStr"/>
      <c r="F59" s="39" t="inlineStr">
        <is>
          <t>X</t>
        </is>
      </c>
      <c r="G59" s="49" t="inlineStr">
        <is>
          <t>UAESP, DTS del PGIRS 2024, causa 2.3.1; UAESP, Informe de Gestión 2024
https://www.uaesp.gov.co/sites/default/files/planeacion/pgirs2025/DTS_PGIRS_2024.pdf
https://www.uaesp.gov.co/sites/default/files/documentos/Informe_gestion_2024_Vesion_2.pdf</t>
        </is>
      </c>
      <c r="H59" s="1" t="n"/>
    </row>
    <row r="60" ht="125.5815" customHeight="1">
      <c r="A60" s="1" t="n"/>
      <c r="B60" s="58" t="inlineStr">
        <is>
          <t>SOCIAL</t>
        </is>
      </c>
      <c r="C60" s="19" t="inlineStr">
        <is>
          <t>Sensibilidad del hogar a cualquier costo recurrente</t>
        </is>
      </c>
      <c r="D60" s="20" t="inlineStr">
        <is>
          <t>En un hogar de estrato 1 cualquier costo adicional recurrente se traduce en abandono del programa en el segundo o tercer mes. Esto determina dos decisiones de diseño: el consumo eléctrico del aparato se limita a 0.5 kilovatios hora mensuales, equivalentes a entre $173 y $562 al mes, y los consumibles —bolsas compostables, cartucho de carbón y material seco— los entrega el operador durante la ruta sin costo para la familia. Ambas condiciones deben comunicarse de forma explícita, incluida una etiqueta de consumo adherida al equipo.</t>
        </is>
      </c>
      <c r="E60" s="34" t="inlineStr"/>
      <c r="F60" s="35" t="inlineStr">
        <is>
          <t>X</t>
        </is>
      </c>
      <c r="G60" s="47" t="inlineStr">
        <is>
          <t>Cálculo propio sobre tarifa de Enel-Codensa; diseño operativo del programa
https://www.opscolombia.com/tarifas-energia
https://www.promoambientaldistrito.com/Tarifas/202510_ASE01.pdf</t>
        </is>
      </c>
      <c r="H60" s="1" t="n"/>
    </row>
    <row r="61" ht="141.836" customHeight="1">
      <c r="A61" s="1" t="n"/>
      <c r="B61" s="59" t="inlineStr">
        <is>
          <t>SOCIAL</t>
        </is>
      </c>
      <c r="C61" s="21" t="inlineStr">
        <is>
          <t>Uso incorrecto previsible del aparato</t>
        </is>
      </c>
      <c r="D61" s="22" t="inlineStr">
        <is>
          <t>La introducción de pañales, plásticos, vidrio o huesos de gran tamaño es un comportamiento esperable, particularmente en los primeros meses y por desconocimiento más que por mala disposición. El diseño lo asume mediante una boca de carga angosta con deflector que impide el ingreso de objetos grandes, detección de sobrecorriente que detiene el ciclo ante material duro, inspección visual del operario al recoger y caracterización del rechazo por microrruta en planta. El régimen de consecuencias es gradual: advertencia y acompañamiento en sitio antes de cualquier reducción de la tasa de puntos.</t>
        </is>
      </c>
      <c r="E61" s="38" t="inlineStr"/>
      <c r="F61" s="39" t="inlineStr">
        <is>
          <t>X</t>
        </is>
      </c>
      <c r="G61" s="49" t="inlineStr">
        <is>
          <t>Diseño operativo propio; Guía técnica UAESP y Universidad Nacional
https://www.uaesp.gov.co/images/Guia-UAESP_SR.pdf
https://www.uaesp.gov.co/sites/default/files/planeacion/pgirs2025/DTS_PGIRS_2024.pdf</t>
        </is>
      </c>
      <c r="H61" s="1" t="n"/>
    </row>
    <row r="62" ht="93.07249999999999" customHeight="1">
      <c r="A62" s="1" t="n"/>
      <c r="B62" s="58" t="inlineStr">
        <is>
          <t>SOCIAL</t>
        </is>
      </c>
      <c r="C62" s="19" t="inlineStr">
        <is>
          <t>Suelo rural productivo dentro de la propia localidad</t>
        </is>
      </c>
      <c r="D62" s="20" t="inlineStr">
        <is>
          <t>El 86 % del territorio de Usme es rural: 18,500 hectáreas distribuidas en catorce veredas, con la población urbana concentrada en apenas el 10 % de la superficie. Esto permite rutas cortas tanto para la recolección como para la entrega del producto terminado, reduce el costo de transporte y abre la posibilidad de que el Distrito aporte el predio para la planta.</t>
        </is>
      </c>
      <c r="E62" s="34" t="inlineStr">
        <is>
          <t>X</t>
        </is>
      </c>
      <c r="F62" s="35" t="inlineStr"/>
      <c r="G62" s="47" t="inlineStr">
        <is>
          <t>Secretaría Distrital de Planeación; SDIS, Ficha local de Usme 2024
https://www.integracionsocial.gov.co/images/_docs/2025/Entidad/localidades/12052025-5-Usme-Diagnostico-2024.pdf
https://www.sdp.gov.co/gestion-estudios-estrategicos/informacion-estadisticas/encuesta-multiproposito/resultados</t>
        </is>
      </c>
      <c r="H62" s="1" t="n"/>
    </row>
    <row r="63" ht="109.327" customHeight="1">
      <c r="A63" s="1" t="n"/>
      <c r="B63" s="59" t="inlineStr">
        <is>
          <t>SOCIAL</t>
        </is>
      </c>
      <c r="C63" s="21" t="inlineStr">
        <is>
          <t>Dependencia del resultado respecto de la inversión en gestión social</t>
        </is>
      </c>
      <c r="D63" s="22" t="inlineStr">
        <is>
          <t>La tasa de captura, es decir la proporción del residuo orgánico del hogar que efectivamente ingresa al aparato, depende directamente de la intensidad del acompañamiento. El modelo asume 80 %; una caída a 60 % reduciría los ingresos en una cuarta parte. La gestión social no constituye un gasto discrecional susceptible de recorte presupuestal sino la variable que determina el ingreso, y debe protegerse contractualmente.</t>
        </is>
      </c>
      <c r="E63" s="38" t="inlineStr"/>
      <c r="F63" s="39" t="inlineStr">
        <is>
          <t>X</t>
        </is>
      </c>
      <c r="G63" s="49" t="inlineStr">
        <is>
          <t>Análisis de sensibilidad propio
https://www.promoambientaldistrito.com/Tarifas/202510_ASE01.pdf</t>
        </is>
      </c>
      <c r="H63" s="1" t="n"/>
    </row>
    <row r="64" ht="16" customHeight="1">
      <c r="A64" s="1" t="n"/>
      <c r="B64" s="1" t="n"/>
      <c r="C64" s="1" t="n"/>
      <c r="D64" s="1" t="n"/>
      <c r="E64" s="1" t="n"/>
      <c r="F64" s="1" t="n"/>
      <c r="G64" s="1" t="n"/>
      <c r="H64" s="1" t="n"/>
    </row>
    <row r="65" ht="28" customHeight="1">
      <c r="A65" s="1" t="n"/>
      <c r="B65" s="60" t="inlineStr">
        <is>
          <t>Factor tecnológico</t>
        </is>
      </c>
      <c r="C65" s="60" t="n"/>
      <c r="D65" s="60" t="n"/>
      <c r="E65" s="60" t="n"/>
      <c r="F65" s="60" t="n"/>
      <c r="G65" s="60" t="n"/>
      <c r="H65" s="1" t="n"/>
    </row>
    <row r="66" ht="28.0545" customHeight="1">
      <c r="A66" s="1" t="n"/>
      <c r="B66" s="61" t="inlineStr">
        <is>
          <t>Qué se puede construir, con qué se comunica el aparato, qué límites legales hay para las antenas y qué tan maduras están las alternativas técnicas.</t>
        </is>
      </c>
      <c r="C66" s="61" t="n"/>
      <c r="D66" s="61" t="n"/>
      <c r="E66" s="61" t="n"/>
      <c r="F66" s="61" t="n"/>
      <c r="G66" s="61" t="n"/>
      <c r="H66" s="1" t="n"/>
    </row>
    <row r="67" ht="4" customHeight="1">
      <c r="A67" s="1" t="n"/>
      <c r="B67" s="1" t="n"/>
      <c r="C67" s="1" t="n"/>
      <c r="D67" s="1" t="n"/>
      <c r="E67" s="1" t="n"/>
      <c r="F67" s="1" t="n"/>
      <c r="G67" s="1" t="n"/>
      <c r="H67" s="1" t="n"/>
    </row>
    <row r="68" ht="30" customHeight="1">
      <c r="A68" s="1" t="n"/>
      <c r="B68" s="62" t="inlineStr">
        <is>
          <t>FACTOR</t>
        </is>
      </c>
      <c r="C68" s="62" t="inlineStr">
        <is>
          <t>ASPECTO</t>
        </is>
      </c>
      <c r="D68" s="62" t="inlineStr">
        <is>
          <t>DESCRIPCIÓN</t>
        </is>
      </c>
      <c r="E68" s="62" t="inlineStr">
        <is>
          <t>OPORTUNIDAD</t>
        </is>
      </c>
      <c r="F68" s="62" t="inlineStr">
        <is>
          <t>AMENAZA</t>
        </is>
      </c>
      <c r="G68" s="62" t="inlineStr">
        <is>
          <t>BIBLIOGRAFÍA</t>
        </is>
      </c>
      <c r="H68" s="1" t="n"/>
    </row>
    <row r="69" ht="125.5815" customHeight="1">
      <c r="A69" s="1" t="n"/>
      <c r="B69" s="63" t="inlineStr">
        <is>
          <t>TECNOLÓGICO</t>
        </is>
      </c>
      <c r="C69" s="19" t="inlineStr">
        <is>
          <t>Restricción regulatoria sobre la banda de radio disponible</t>
        </is>
      </c>
      <c r="D69" s="20" t="inlineStr">
        <is>
          <t>La Resolución 28 de 2026 de la Agencia Nacional del Espectro reservó el segmento de 905 a 915 megahercios para servicios móviles, de modo que la ventana de uso libre disponible en Colombia va de 915 a 928 megahercios. Esto determina que el plan de frecuencias aplicable sea el AU915 y no el US915, cuyo plan de canales de subida queda íntegramente por debajo de 915 megahercios. Operar en banda de uso libre no requiere licencia de espectro ni homologación ante la CRC, lo que elimina trámites y costos regulatorios.</t>
        </is>
      </c>
      <c r="E69" s="34" t="inlineStr">
        <is>
          <t>X</t>
        </is>
      </c>
      <c r="F69" s="35" t="inlineStr"/>
      <c r="G69" s="47" t="inlineStr">
        <is>
          <t>Resolución ANE 689 de 2004; Resolución ANE 28 de 2026, Tabla 15A del Cuadro Nacional de Atribución
https://normograma.mintic.gov.co/mintic/compilacion/docs/resolucion_ane_0028_2026.htm</t>
        </is>
      </c>
      <c r="H69" s="1" t="n"/>
    </row>
    <row r="70" ht="125.5815" customHeight="1">
      <c r="A70" s="1" t="n"/>
      <c r="B70" s="64" t="inlineStr">
        <is>
          <t>TECNOLÓGICO</t>
        </is>
      </c>
      <c r="C70" s="21" t="inlineStr">
        <is>
          <t>Ventaja económica decisiva de la red propia frente a la conectividad celular</t>
        </is>
      </c>
      <c r="D70" s="22" t="inlineStr">
        <is>
          <t>Una red de radio propia cuesta entre $1,280 y $6,880 por aparato al año según la escala del despliegue, frente a unos $55,800 anuales de una SIM celular: una diferencia de 43 veces, que a doce mil aparatos equivale a unos 1,090 millones de pesos anuales. A la ventaja económica se suma la independencia operativa: con red propia el programa controla su infraestructura durante los diez años de vida útil, en lugar de quedar expuesto a la política tarifaria de un operador comercial sin poder de negociación.</t>
        </is>
      </c>
      <c r="E70" s="38" t="inlineStr">
        <is>
          <t>X</t>
        </is>
      </c>
      <c r="F70" s="39" t="inlineStr"/>
      <c r="G70" s="49" t="inlineStr">
        <is>
          <t>Precio del módulo de radio publicado por Rokland; tarifas de planes celulares de máquina a máquina del mercado colombiano; Resolución ANE 28 de 2026
https://normograma.mintic.gov.co/mintic/compilacion/docs/resolucion_ane_0028_2026.htm
https://store.rokland.com/products/ra-01sh-p-lora-module-ai-thinker</t>
        </is>
      </c>
      <c r="H70" s="1" t="n"/>
    </row>
    <row r="71" ht="158.0905" customHeight="1">
      <c r="A71" s="1" t="n"/>
      <c r="B71" s="63" t="inlineStr">
        <is>
          <t>TECNOLÓGICO</t>
        </is>
      </c>
      <c r="C71" s="19" t="inlineStr">
        <is>
          <t>Topografía de Usme como condicionante del despliegue de antenas</t>
        </is>
      </c>
      <c r="D71" s="20" t="inlineStr">
        <is>
          <t>Las cañadas profundas de la localidad generan sombras de radio donde no hay propagación útil a 915 megahercios, mientras que los filos y cerros permiten emplazamientos con dominio visual sobre barrios enteros en configuración de anfiteatro. Se adopta un alcance efectivo de diseño de 1.5 kilómetros por antena, con doce antenas para cubrir el área urbana, instaladas en colegios distritales, estaciones del TransMiCable, salones comunales y tanques del acueducto. Para las viviendas que queden en sombra, el vehículo de recolección recoge los datos por enlace de corto alcance al pasar, lo que lleva la cobertura de información al 100 % con latencia diferida en ese porcentaje reducido.</t>
        </is>
      </c>
      <c r="E71" s="34" t="inlineStr">
        <is>
          <t>X</t>
        </is>
      </c>
      <c r="F71" s="35" t="inlineStr"/>
      <c r="G71" s="47" t="inlineStr">
        <is>
          <t>Presupuesto de enlace propio; literatura de mediciones de propagación en redes de largo alcance
https://www.promoambientaldistrito.com/Tarifas/202510_ASE01.pdf
https://www.uaesp.gov.co/images/Guia-UAESP_SR.pdf</t>
        </is>
      </c>
      <c r="H71" s="1" t="n"/>
    </row>
    <row r="72" ht="158.0905" customHeight="1">
      <c r="A72" s="1" t="n"/>
      <c r="B72" s="64" t="inlineStr">
        <is>
          <t>TECNOLÓGICO</t>
        </is>
      </c>
      <c r="C72" s="21" t="inlineStr">
        <is>
          <t>Seguridad del producto resuelta por hardware y no por software</t>
        </is>
      </c>
      <c r="D72" s="22" t="inlineStr">
        <is>
          <t>El corte de la alimentación del motor se realiza mediante un microswitch intercalado en serie dentro del circuito de potencia: con la tapa abierta el circuito está físicamente interrumpido y el motor no puede operar aunque el firmware falle, se bloquee o sea manipulado. A ello se suman el deflector que impide el acceso de una mano al rotor, el freno dinámico que detiene el disco en menos de un segundo, el retardo de arranque con aviso sonoro y el reductor autobloqueante que impide girar el mecanismo desde el exterior. Este esquema es el que exige la norma IEC 60335-2-16 para trituradores domésticos de residuos de comida y es condición para obtener la certificación RETIE, obligatoria en Colombia.</t>
        </is>
      </c>
      <c r="E72" s="38" t="inlineStr">
        <is>
          <t>X</t>
        </is>
      </c>
      <c r="F72" s="39" t="inlineStr"/>
      <c r="G72" s="49" t="inlineStr">
        <is>
          <t>Reglamento Técnico de Instalaciones Eléctricas RETIE; normas IEC 60335-1 e IEC 60335-2-16 de 2022
https://www.minenergia.gov.co/es/misional/energia-electrica-2/reglamentos-tecnicos/reglamento-t%C3%A9cnico-de-instalaciones-el%C3%A9ctricas-retie/
https://webstore.iec.ch/</t>
        </is>
      </c>
      <c r="H72" s="1" t="n"/>
    </row>
    <row r="73" ht="109.327" customHeight="1">
      <c r="A73" s="1" t="n"/>
      <c r="B73" s="63" t="inlineStr">
        <is>
          <t>TECNOLÓGICO</t>
        </is>
      </c>
      <c r="C73" s="19" t="inlineStr">
        <is>
          <t>Granulometría del material como determinante de la calidad del producto</t>
        </is>
      </c>
      <c r="D73" s="20" t="inlineStr">
        <is>
          <t>El aparato entrega partículas de 5 a 15 milímetros y opera a 90 revoluciones por minuto. Esta especificación es determinante: un material molido por debajo de 2 milímetros se apelmaza, impide la entrada de oxígeno y deriva en putrefacción anaerobia con generación de ácidos grasos volátiles y sulfuro de hidrógeno, en lugar de compostaje aerobio. La baja velocidad reduce además el ruido, elimina las salpicaduras y permite emplear un motor de menor potencia y costo.</t>
        </is>
      </c>
      <c r="E73" s="34" t="inlineStr">
        <is>
          <t>X</t>
        </is>
      </c>
      <c r="F73" s="35" t="inlineStr"/>
      <c r="G73" s="47" t="inlineStr">
        <is>
          <t>Literatura técnica de compostaje; especificaciones de trituradores comerciales
https://www.uaesp.gov.co/images/Guia-UAESP_SR.pdf</t>
        </is>
      </c>
      <c r="H73" s="1" t="n"/>
    </row>
    <row r="74" ht="141.836" customHeight="1">
      <c r="A74" s="1" t="n"/>
      <c r="B74" s="64" t="inlineStr">
        <is>
          <t>TECNOLÓGICO</t>
        </is>
      </c>
      <c r="C74" s="21" t="inlineStr">
        <is>
          <t>Inviabilidad de la deshidratación térmica en el contexto socioeconómico objetivo</t>
        </is>
      </c>
      <c r="D74" s="22" t="inlineStr">
        <is>
          <t>La totalidad de las compostadoras domésticas del mercado internacional resuelve el control de olores mediante deshidratación térmica, con consumos de entre 0.5 y 1 kilovatio hora por ciclo. Trasladado a Bogotá, ese consumo representaría entre $10,368 y $20,736 mensuales y superaría el umbral de 130 kilovatios hora de consumo de subsistencia, con la consiguiente pérdida del subsidio en el margen. La alternativa adoptada —sellado hermético, filtro de carbón activado, extracción forzada y material seco estructurante— logra el mismo objetivo con un consumo de 0.5 kilovatios hora mensuales y un costo de componentes de $22,900.</t>
        </is>
      </c>
      <c r="E74" s="38" t="inlineStr">
        <is>
          <t>X</t>
        </is>
      </c>
      <c r="F74" s="39" t="inlineStr"/>
      <c r="G74" s="49" t="inlineStr">
        <is>
          <t>Especificaciones y precios públicos de compostadoras domésticas, 2026; cálculo propio sobre tarifa de Enel-Codensa
https://www.opscolombia.com/tarifas-energia
https://www.promoambientaldistrito.com/Tarifas/202510_ASE01.pdf</t>
        </is>
      </c>
      <c r="H74" s="1" t="n"/>
    </row>
    <row r="75" ht="125.5815" customHeight="1">
      <c r="A75" s="1" t="n"/>
      <c r="B75" s="63" t="inlineStr">
        <is>
          <t>TECNOLÓGICO</t>
        </is>
      </c>
      <c r="C75" s="19" t="inlineStr">
        <is>
          <t>Magnitud realista del ahorro por optimización de rutas</t>
        </is>
      </c>
      <c r="D75" s="20" t="inlineStr">
        <is>
          <t>Los proveedores comerciales de sensores para contenedores publicitan reducciones de hasta el 86 % en costos de recolección, pero sus casos comparan contra esquemas de contenedores públicos sobredimensionados con frecuencia fija. La evidencia académica revisada por pares reporta reducciones cercanas al 16.4 % en distancia, tiempo y combustible. Para recolección domiciliaria puerta a puerta, donde la densidad de puntos es alta y la ruta ya es razonablemente eficiente, el rango defendible es del 15 % al 30 %. El modelo financiero adopta 20 %.</t>
        </is>
      </c>
      <c r="E75" s="34" t="inlineStr"/>
      <c r="F75" s="35" t="inlineStr">
        <is>
          <t>X</t>
        </is>
      </c>
      <c r="G75" s="47" t="inlineStr">
        <is>
          <t>Abdallah, Adghim, Maraqa y Aldahab, Waste Management &amp; Research, 2019
https://journals.sagepub.com/doi/full/10.1177/0734242X19833152</t>
        </is>
      </c>
      <c r="H75" s="1" t="n"/>
    </row>
    <row r="76" ht="125.5815" customHeight="1">
      <c r="A76" s="1" t="n"/>
      <c r="B76" s="64" t="inlineStr">
        <is>
          <t>TECNOLÓGICO</t>
        </is>
      </c>
      <c r="C76" s="21" t="inlineStr">
        <is>
          <t>Frecuencia de recolección determinada por la ausencia de deshidratación</t>
        </is>
      </c>
      <c r="D76" s="22" t="inlineStr">
        <is>
          <t>Al no retirarse el contenido de agua, el material conserva su masa. Aun así, un hogar promedio entrega 6.9 kilos en quince días y el cajón de 20 litros llega al 58 % de su capacidad, de modo que la frecuencia de recolección queda fijada en quince días y no por la capacidad sino por el tiempo que el material tolera antes de fermentar. Lejos de constituir una limitación, es precisamente lo que justifica la existencia de la red de sensores y de la optimización de rutas, que permiten recoger únicamente donde el umbral se alcanzó.</t>
        </is>
      </c>
      <c r="E76" s="38" t="inlineStr"/>
      <c r="F76" s="39" t="inlineStr">
        <is>
          <t>X</t>
        </is>
      </c>
      <c r="G76" s="49" t="inlineStr">
        <is>
          <t>Dimensionamiento propio del equipo
https://www.promoambientaldistrito.com/Tarifas/202510_ASE01.pdf</t>
        </is>
      </c>
      <c r="H76" s="1" t="n"/>
    </row>
    <row r="77" ht="109.327" customHeight="1">
      <c r="A77" s="1" t="n"/>
      <c r="B77" s="63" t="inlineStr">
        <is>
          <t>TECNOLÓGICO</t>
        </is>
      </c>
      <c r="C77" s="19" t="inlineStr">
        <is>
          <t>Generación de información inexistente sobre producción de residuos por territorio</t>
        </is>
      </c>
      <c r="D77" s="20" t="inlineStr">
        <is>
          <t>Ni la UAESP ni la Superintendencia de Servicios Públicos publican toneladas desagregadas por localidad, dado que la operación se reporta por Área de Servicio Exclusivo. El programa generaría el primer conjunto de datos reales de generación de residuos orgánicos por hogar, por manzana y por día de la localidad, activo de valor propio para la planeación distrital que fortalece la posición negociadora frente al cliente principal.</t>
        </is>
      </c>
      <c r="E77" s="34" t="inlineStr">
        <is>
          <t>X</t>
        </is>
      </c>
      <c r="F77" s="35" t="inlineStr"/>
      <c r="G77" s="47" t="inlineStr">
        <is>
          <t>UAESP, Informe de Gestión 2024; Superintendencia de Servicios Públicos Domiciliarios, Informe Nacional de Disposición Final 2024
https://www.uaesp.gov.co/sites/default/files/documentos/Informe_gestion_2024_Vesion_2.pdf
https://www.superservicios.gov.co/sites/default/files/2025-12/Informe-Nacional-de-Disposicion-Final-de-Residuos-Solidos-en-Combia-2024.pdf</t>
        </is>
      </c>
      <c r="H77" s="1" t="n"/>
    </row>
    <row r="78" ht="141.836" customHeight="1">
      <c r="A78" s="1" t="n"/>
      <c r="B78" s="64" t="inlineStr">
        <is>
          <t>TECNOLÓGICO</t>
        </is>
      </c>
      <c r="C78" s="21" t="inlineStr">
        <is>
          <t>Sistema de bolsas compostables integrado al equipo</t>
        </is>
      </c>
      <c r="D78" s="22" t="inlineStr">
        <is>
          <t>La bolsa compostable certificada bajo la norma NTC 5511 viene ya puesta en el cajón: encaja por su borde elástico en una ranura del reborde superior, sin mecanismo alguno. Lleva un cordón de cierre integrado, de modo que el operario la cierra y la retira en unos segundos durante la ruta, y deja una nueva puesta. El cajón guarda además diez bolsas de reserva. La familia no manipula el material ni necesita cambiar la bolsa. Las bolsas se degradan junto con el residuo en la pila de compostaje, de modo que no requieren separación en planta, y las entrega el operador durante la ruta sin costo para el hogar.</t>
        </is>
      </c>
      <c r="E78" s="38" t="inlineStr">
        <is>
          <t>X</t>
        </is>
      </c>
      <c r="F78" s="39" t="inlineStr"/>
      <c r="G78" s="49" t="inlineStr">
        <is>
          <t>Diseño del equipo; norma técnica NTC 5511
https://tienda.icontec.org/
https://www.promoambientaldistrito.com/Tarifas/202510_ASE01.pdf</t>
        </is>
      </c>
      <c r="H78" s="1" t="n"/>
    </row>
    <row r="79" ht="125.5815" customHeight="1">
      <c r="A79" s="1" t="n"/>
      <c r="B79" s="63" t="inlineStr">
        <is>
          <t>TECNOLÓGICO</t>
        </is>
      </c>
      <c r="C79" s="19" t="inlineStr">
        <is>
          <t>Estrategia de fabricación mixta entre producción local e importación</t>
        </is>
      </c>
      <c r="D79" s="20" t="inlineStr">
        <is>
          <t>Las piezas plásticas de gran volumen se fabrican en Bogotá, dado que el flete marítimo excedería el ahorro en precio de compra. El motorreductor, la electrónica y la sensórica se importan por ausencia de cadena local competitiva. El ensamble final se realiza en Colombia, lo que reduce el arancel al importar partes en lugar de electrodomésticos terminados, habilita la reparabilidad en el país y genera empleo local, argumento relevante para un programa financiado con recursos públicos.</t>
        </is>
      </c>
      <c r="E79" s="34" t="inlineStr">
        <is>
          <t>X</t>
        </is>
      </c>
      <c r="F79" s="35" t="inlineStr"/>
      <c r="G79" s="47" t="inlineStr">
        <is>
          <t>Análisis de costos de fabricación e importación propio
https://www.promoambientaldistrito.com/Tarifas/202510_ASE01.pdf</t>
        </is>
      </c>
      <c r="H79" s="1" t="n"/>
    </row>
    <row r="80" ht="109.327" customHeight="1">
      <c r="A80" s="1" t="n"/>
      <c r="B80" s="64" t="inlineStr">
        <is>
          <t>TECNOLÓGICO</t>
        </is>
      </c>
      <c r="C80" s="21" t="inlineStr">
        <is>
          <t>Exposición del costo del equipo a la variación de la tasa de cambio</t>
        </is>
      </c>
      <c r="D80" s="22" t="inlineStr">
        <is>
          <t>Cerca del 55 % del valor de los componentes es importado. La tasa de cambio promedió $4,052 en 2025 y $3,518 en 2026; un retorno a los niveles del año anterior encarecería el aparato alrededor de un 16 %. La mitigación consiste en contratar cobertura cambiaria para las órdenes de compra de mayor cuantía, nacionalizar progresivamente componentes e incorporar una cláusula de ajuste por tasa de cambio en los contratos con el Distrito.</t>
        </is>
      </c>
      <c r="E80" s="38" t="inlineStr"/>
      <c r="F80" s="39" t="inlineStr">
        <is>
          <t>X</t>
        </is>
      </c>
      <c r="G80" s="49" t="inlineStr">
        <is>
          <t>Superintendencia Financiera de Colombia; análisis propio
https://www.datos.gov.co/resource/32sa-8pi3.json
https://www.promoambientaldistrito.com/Tarifas/202510_ASE01.pdf</t>
        </is>
      </c>
      <c r="H80" s="1" t="n"/>
    </row>
    <row r="81" ht="16" customHeight="1">
      <c r="A81" s="1" t="n"/>
      <c r="B81" s="1" t="n"/>
      <c r="C81" s="1" t="n"/>
      <c r="D81" s="1" t="n"/>
      <c r="E81" s="1" t="n"/>
      <c r="F81" s="1" t="n"/>
      <c r="G81" s="1" t="n"/>
      <c r="H81" s="1" t="n"/>
    </row>
    <row r="82" ht="28" customHeight="1">
      <c r="A82" s="1" t="n"/>
      <c r="B82" s="14" t="inlineStr">
        <is>
          <t>Factor ambiental</t>
        </is>
      </c>
      <c r="C82" s="14" t="n"/>
      <c r="D82" s="14" t="n"/>
      <c r="E82" s="14" t="n"/>
      <c r="F82" s="14" t="n"/>
      <c r="G82" s="14" t="n"/>
      <c r="H82" s="1" t="n"/>
    </row>
    <row r="83" ht="28.0545" customHeight="1">
      <c r="A83" s="1" t="n"/>
      <c r="B83" s="65" t="inlineStr">
        <is>
          <t>Qué daño evita el proyecto, cuánto vale ese daño evitado en cifras verificables, y qué riesgos ambientales debe gestionar la operación por sí misma.</t>
        </is>
      </c>
      <c r="C83" s="65" t="n"/>
      <c r="D83" s="65" t="n"/>
      <c r="E83" s="65" t="n"/>
      <c r="F83" s="65" t="n"/>
      <c r="G83" s="65" t="n"/>
      <c r="H83" s="1" t="n"/>
    </row>
    <row r="84" ht="4" customHeight="1">
      <c r="A84" s="1" t="n"/>
      <c r="B84" s="1" t="n"/>
      <c r="C84" s="1" t="n"/>
      <c r="D84" s="1" t="n"/>
      <c r="E84" s="1" t="n"/>
      <c r="F84" s="1" t="n"/>
      <c r="G84" s="1" t="n"/>
      <c r="H84" s="1" t="n"/>
    </row>
    <row r="85" ht="30" customHeight="1">
      <c r="A85" s="1" t="n"/>
      <c r="B85" s="66" t="inlineStr">
        <is>
          <t>FACTOR</t>
        </is>
      </c>
      <c r="C85" s="66" t="inlineStr">
        <is>
          <t>ASPECTO</t>
        </is>
      </c>
      <c r="D85" s="66" t="inlineStr">
        <is>
          <t>DESCRIPCIÓN</t>
        </is>
      </c>
      <c r="E85" s="66" t="inlineStr">
        <is>
          <t>OPORTUNIDAD</t>
        </is>
      </c>
      <c r="F85" s="66" t="inlineStr">
        <is>
          <t>AMENAZA</t>
        </is>
      </c>
      <c r="G85" s="66" t="inlineStr">
        <is>
          <t>BIBLIOGRAFÍA</t>
        </is>
      </c>
      <c r="H85" s="1" t="n"/>
    </row>
    <row r="86" ht="141.836" customHeight="1">
      <c r="A86" s="1" t="n"/>
      <c r="B86" s="67" t="inlineStr">
        <is>
          <t>AMBIENTAL</t>
        </is>
      </c>
      <c r="C86" s="19" t="inlineStr">
        <is>
          <t>Emisiones de metano del relleno como principal impacto evitable</t>
        </is>
      </c>
      <c r="D86" s="20" t="inlineStr">
        <is>
          <t>El potencial combinado de generación de metano de los residuos enterrados en Doña Juana entre 1988 y 2023 asciende a 2,724,158 toneladas de metano, equivalentes a 73,552,266 toneladas de dióxido de carbono. El 70.3 % ya se liberó y el 29.7 % restante se emitirá aunque el relleno cerrara de inmediato. El sitio aporta por sí solo el 2.02 % del metano nacional, y cerca del 60 % de los impactos de gases de efecto invernadero de la gestión de residuos de Bogotá proviene de la fracción orgánica alimentaria. Desviar los residuos orgánicos de Usme evitaría entre 66,023 y 134,510 toneladas de CO₂ equivalente al año.</t>
        </is>
      </c>
      <c r="E86" s="34" t="inlineStr"/>
      <c r="F86" s="35" t="inlineStr">
        <is>
          <t>X</t>
        </is>
      </c>
      <c r="G86" s="47" t="inlineStr">
        <is>
          <t>Greenpeace Colombia, 2024, con metodología IPCC 2006; ANDI, Circular City Scan Bogotá-Región, 2026
https://www.greenpeace.org/static/planet4-colombia-stateless/2024/09/aa3dab3b-reportemetano-colombia.pdf
https://www.andi.com.co/Uploads/260123_Entregable%20final_CCS%20Bogot%C3%A1-Regi%C3%B3n_compressed.pdf</t>
        </is>
      </c>
      <c r="H86" s="1" t="n"/>
    </row>
    <row r="87" ht="109.327" customHeight="1">
      <c r="A87" s="1" t="n"/>
      <c r="B87" s="68" t="inlineStr">
        <is>
          <t>AMBIENTAL</t>
        </is>
      </c>
      <c r="C87" s="21" t="inlineStr">
        <is>
          <t>Deterioro del sistema de captura de biogás del relleno</t>
        </is>
      </c>
      <c r="D87" s="22" t="inlineStr">
        <is>
          <t>La UAESP reconoce en su Informe de Gestión 2024 que la captura de biogás descendió 23.23 % entre enero y diciembre de ese año, pese a haber captado 79,834,475 metros cúbicos normales. El sistema de mitigación vigente se deteriora mientras el volumen enterrado continúa creciendo, lo que refuerza que evitar el ingreso de la fracción orgánica es estructuralmente superior a capturar el gas que genera después.</t>
        </is>
      </c>
      <c r="E87" s="38" t="inlineStr"/>
      <c r="F87" s="39" t="inlineStr">
        <is>
          <t>X</t>
        </is>
      </c>
      <c r="G87" s="49" t="inlineStr">
        <is>
          <t>UAESP, Informe de Gestión 2024
https://www.uaesp.gov.co/sites/default/files/documentos/Informe_gestion_2024_Vesion_2.pdf
https://www.uaesp.gov.co/sites/default/files/planeacion/pgirs2025/DTS_PGIRS_2024.pdf</t>
        </is>
      </c>
      <c r="H87" s="1" t="n"/>
    </row>
    <row r="88" ht="141.836" customHeight="1">
      <c r="A88" s="1" t="n"/>
      <c r="B88" s="67" t="inlineStr">
        <is>
          <t>AMBIENTAL</t>
        </is>
      </c>
      <c r="C88" s="19" t="inlineStr">
        <is>
          <t>Reducción del crédito de carbono por la captura existente en el relleno</t>
        </is>
      </c>
      <c r="D88" s="20" t="inlineStr">
        <is>
          <t>El factor de emisión evitada se calcula sobre el metano que se habría emitido en el escenario base. Dado que Doña Juana cuenta con proyecto de captura y aprovechamiento de biogás, una porción de ese metano ya se evitaba previamente. El factor general, que oscila entre 0.3 y 1.5 toneladas de CO₂ equivalente por tonelada desviada, podría reducirse a la mitad o menos. Antes de proyectar cualquier ingreso por carbono es indispensable revisar el documento de diseño del proyecto de biogás del relleno. Adicionalmente, la certificación cuesta entre 15,000 y 50,000 dólares, lo que hace inviable esta fuente por debajo de veinte toneladas diarias.</t>
        </is>
      </c>
      <c r="E88" s="34" t="inlineStr"/>
      <c r="F88" s="35" t="inlineStr">
        <is>
          <t>X</t>
        </is>
      </c>
      <c r="G88" s="47" t="inlineStr">
        <is>
          <t>Metodología CDM AMS-III.F; EPA, modelo WARM; UAESP, Informe de Gestión 2024
https://www.uaesp.gov.co/sites/default/files/documentos/Informe_gestion_2024_Vesion_2.pdf
https://archive.epa.gov/epawaste/conserve/tools/warm/pdfs/cmpstng_ovrview.pdf</t>
        </is>
      </c>
      <c r="H88" s="1" t="n"/>
    </row>
    <row r="89" ht="125.5815" customHeight="1">
      <c r="A89" s="1" t="n"/>
      <c r="B89" s="68" t="inlineStr">
        <is>
          <t>AMBIENTAL</t>
        </is>
      </c>
      <c r="C89" s="21" t="inlineStr">
        <is>
          <t>Sobrecarga del sistema de tratamiento de lixiviados y afectación del río Tunjuelo</t>
        </is>
      </c>
      <c r="D89" s="22" t="inlineStr">
        <is>
          <t>La planta de tratamiento de lixiviados fue diseñada para un caudal de entre 8 y 14 litros por segundo y opera con aproximadamente 27, es decir entre dos y tres veces su capacidad. La UAESP reconoce que la falta de optimización del sistema dificulta el cumplimiento de la normativa de vertimientos y la expone a procesos sancionatorios. La fracción orgánica es la principal responsable del contenido de humedad y de la carga orgánica del lixiviado, de modo que reducir su ingreso disminuye el problema en proporción directa.</t>
        </is>
      </c>
      <c r="E89" s="38" t="inlineStr"/>
      <c r="F89" s="39" t="inlineStr">
        <is>
          <t>X</t>
        </is>
      </c>
      <c r="G89" s="49" t="inlineStr">
        <is>
          <t>UAESP, Informe de Gestión 2024; Personería de Bogotá
https://www.uaesp.gov.co/sites/default/files/documentos/Informe_gestion_2024_Vesion_2.pdf
https://www.uaesp.gov.co/sites/default/files/planeacion/pgirs2025/DTS_PGIRS_2024.pdf</t>
        </is>
      </c>
      <c r="H89" s="1" t="n"/>
    </row>
    <row r="90" ht="125.5815" customHeight="1">
      <c r="A90" s="1" t="n"/>
      <c r="B90" s="67" t="inlineStr">
        <is>
          <t>AMBIENTAL</t>
        </is>
      </c>
      <c r="C90" s="19" t="inlineStr">
        <is>
          <t>Capacidad de tratamiento prácticamente inexistente en la ciudad</t>
        </is>
      </c>
      <c r="D90" s="20" t="inlineStr">
        <is>
          <t>Durante el segundo semestre de 2024 ingresaron al Parque de Innovación Doña Juana 1,197,422,65 toneladas, de las cuales el 5.92 % recibió algún tratamiento y el 94.08 % fue enterrado en celda. La capacidad de tratamiento de residuos orgánicos se limitaba a dos plantas apoyadas por la UAESP que procesaban treinta toneladas mensuales, frente a unas 92,000 toneladas mensuales de material orgánico enterrado. El mercado está esencialmente desatendido, si bien la causa de esa desatención es el cierre financiero y no la disponibilidad tecnológica.</t>
        </is>
      </c>
      <c r="E90" s="34" t="inlineStr">
        <is>
          <t>X</t>
        </is>
      </c>
      <c r="F90" s="35" t="inlineStr"/>
      <c r="G90" s="47" t="inlineStr">
        <is>
          <t>UAESP, Informe de Gestión 2024
https://www.uaesp.gov.co/sites/default/files/documentos/Informe_gestion_2024_Vesion_2.pdf
https://www.uaesp.gov.co/sites/default/files/planeacion/pgirs2025/DTS_PGIRS_2024.pdf</t>
        </is>
      </c>
      <c r="H90" s="1" t="n"/>
    </row>
    <row r="91" ht="125.5815" customHeight="1">
      <c r="A91" s="1" t="n"/>
      <c r="B91" s="68" t="inlineStr">
        <is>
          <t>AMBIENTAL</t>
        </is>
      </c>
      <c r="C91" s="21" t="inlineStr">
        <is>
          <t>Degradación de los suelos de Cundinamarca por déficit de materia orgánica</t>
        </is>
      </c>
      <c r="D91" s="22" t="inlineStr">
        <is>
          <t>El 80.3 % de los suelos del departamento presenta algún grado de erosión y el 5 % erosión severa, frente al 40 % del promedio nacional; en las áreas de uso exclusivamente agrícola del país la cifra alcanza el 93 %. La causa identificada es el manejo inadecuado en las labores agrícolas, en particular la fertilización mineral sostenida sin reposición de carbono orgánico. Este es el fundamento técnico de la propuesta de valor frente al agricultor: el compost aporta precisamente aquello que el fertilizante de síntesis no entrega.</t>
        </is>
      </c>
      <c r="E91" s="38" t="inlineStr">
        <is>
          <t>X</t>
        </is>
      </c>
      <c r="F91" s="39" t="inlineStr"/>
      <c r="G91" s="49" t="inlineStr">
        <is>
          <t>IDEAM, Ministerio de Ambiente y UDCA, Estudio Nacional de Degradación de Suelos por Erosión
https://www.minambiente.gov.co/40-del-territorio-colombiano-presenta-algun-grado-de-degradacion-de-suelos-por-erosion/
https://www.minambiente.gov.co/wp-content/uploads/2025/05/Inventario_Nacional_de_Emisiones_y_Absorciones_Atmosfericas_de_Colombia.pdf</t>
        </is>
      </c>
      <c r="H91" s="1" t="n"/>
    </row>
    <row r="92" ht="125.5815" customHeight="1">
      <c r="A92" s="1" t="n"/>
      <c r="B92" s="67" t="inlineStr">
        <is>
          <t>AMBIENTAL</t>
        </is>
      </c>
      <c r="C92" s="19" t="inlineStr">
        <is>
          <t>Emisiones de óxido nitroso asociadas a la fertilización nitrogenada</t>
        </is>
      </c>
      <c r="D92" s="20" t="inlineStr">
        <is>
          <t>El sector agropecuario aporta el 20.69 % de las emisiones netas de gases de efecto invernadero de Colombia, y dentro de ese sector las emisiones directas e indirectas de óxido nitroso de suelos agrícolas representan el 16.61 %, equivalentes al 3.18 % de las emisiones brutas nacionales. En 2021 se aplicaron 370,357 toneladas de nitrógeno proveniente de fertilizantes inorgánicos. El inventario nacional atribuye expresamente el aumento de estas emisiones a los fertilizantes nitrogenados inorgánicos.</t>
        </is>
      </c>
      <c r="E92" s="34" t="inlineStr"/>
      <c r="F92" s="35" t="inlineStr">
        <is>
          <t>X</t>
        </is>
      </c>
      <c r="G92" s="47" t="inlineStr">
        <is>
          <t>Ministerio de Ambiente e IDEAM, Inventario Nacional de Emisiones y Absorciones Atmosféricas, 2025
https://www.minambiente.gov.co/wp-content/uploads/2025/05/Inventario_Nacional_de_Emisiones_y_Absorciones_Atmosfericas_de_Colombia.pdf</t>
        </is>
      </c>
      <c r="H92" s="1" t="n"/>
    </row>
    <row r="93" ht="125.5815" customHeight="1">
      <c r="A93" s="1" t="n"/>
      <c r="B93" s="68" t="inlineStr">
        <is>
          <t>AMBIENTAL</t>
        </is>
      </c>
      <c r="C93" s="21" t="inlineStr">
        <is>
          <t>Eutrofización de cuerpos de agua por nutrientes no absorbidos</t>
        </is>
      </c>
      <c r="D93" s="22" t="inlineStr">
        <is>
          <t>El nitrógeno y el fósforo que el cultivo no absorbe migran a los cuerpos de agua por lixiviación y escorrentía y producen eutrofización: proliferación de algas, consumo del oxígeno disuelto y degradación del ecosistema. El río Bogotá registró oxígeno disuelto de cero miligramos por litro en 2014 y una recuperación parcial a 0.8 en 2019. La carga de nutrientes desagregada por origen agrícola no se encuentra disponible públicamente y requiere solicitud formal a la autoridad ambiental regional.</t>
        </is>
      </c>
      <c r="E93" s="38" t="inlineStr"/>
      <c r="F93" s="39" t="inlineStr">
        <is>
          <t>X</t>
        </is>
      </c>
      <c r="G93" s="49" t="inlineStr">
        <is>
          <t>Secretaría Distrital de Ambiente; Escalante Castro y Fajardo Pineda, revista INVENTUM 17(33), 2022
https://oab.ambientebogota.gov.co/gestion-integral-de-residuos-en-bogota/</t>
        </is>
      </c>
      <c r="H93" s="1" t="n"/>
    </row>
    <row r="94" ht="125.5815" customHeight="1">
      <c r="A94" s="1" t="n"/>
      <c r="B94" s="67" t="inlineStr">
        <is>
          <t>AMBIENTAL</t>
        </is>
      </c>
      <c r="C94" s="19" t="inlineStr">
        <is>
          <t>Consumo energético del equipo compatible con la capacidad de pago del hogar</t>
        </is>
      </c>
      <c r="D94" s="20" t="inlineStr">
        <is>
          <t>El aparato consume 0.5 kilovatios hora mensuales. Con la tarifa de Enel-Codensa de $864 por kilovatio hora y los subsidios vigentes de estrato 1 y 2, esto equivale a entre $173 y $216 mensuales, y $562 en el escenario más desfavorable: el 0.03 % de un salario mínimo. Resulta además razonable gestionar que ese consumo sea asumido por el operador del servicio de aseo, dado que para doce mil hogares representa 5.2 millones de pesos mensuales, cifra marginal dentro del presupuesto distrital de aseo.</t>
        </is>
      </c>
      <c r="E94" s="34" t="inlineStr">
        <is>
          <t>X</t>
        </is>
      </c>
      <c r="F94" s="35" t="inlineStr"/>
      <c r="G94" s="47" t="inlineStr">
        <is>
          <t>Cálculo propio sobre tarifa de Enel-Codensa y consumo de subsistencia de 130 kilovatios hora
https://www.opscolombia.com/tarifas-energia
https://www.promoambientaldistrito.com/Tarifas/202510_ASE01.pdf</t>
        </is>
      </c>
      <c r="H94" s="1" t="n"/>
    </row>
    <row r="95" ht="109.327" customHeight="1">
      <c r="A95" s="1" t="n"/>
      <c r="B95" s="68" t="inlineStr">
        <is>
          <t>AMBIENTAL</t>
        </is>
      </c>
      <c r="C95" s="21" t="inlineStr">
        <is>
          <t>Riesgo de generación de olores y vectores en la planta de tratamiento</t>
        </is>
      </c>
      <c r="D95" s="22" t="inlineStr">
        <is>
          <t>Una planta de compostaje operada deficientemente genera su propio pasivo ambiental: pilas sin volteo adecuado derivan en condiciones anaerobias con olores intensos, proliferación de vectores y generación de lixiviados. Esto obliga a presupuestar adecuadamente el volteo, el control de humedad y el manejo de lixiviados, a contar con plan de manejo ambiental aprobado antes de iniciar operación y a mantener un programa permanente de puertas abiertas para la comunidad vecina.</t>
        </is>
      </c>
      <c r="E95" s="38" t="inlineStr"/>
      <c r="F95" s="39" t="inlineStr">
        <is>
          <t>X</t>
        </is>
      </c>
      <c r="G95" s="49" t="inlineStr">
        <is>
          <t>Literatura técnica de compostaje; Witteveen+Bos y MAG Consultoría, 2021
https://www.minvivienda.gov.co/sites/default/files/documentos/20210806-entregable-1-v5-definitiva_0.pdf
https://www.uaesp.gov.co/images/Guia-UAESP_SR.pdf</t>
        </is>
      </c>
      <c r="H95" s="1" t="n"/>
    </row>
    <row r="96" ht="109.327" customHeight="1">
      <c r="A96" s="1" t="n"/>
      <c r="B96" s="67" t="inlineStr">
        <is>
          <t>AMBIENTAL</t>
        </is>
      </c>
      <c r="C96" s="19" t="inlineStr">
        <is>
          <t>Contaminación cruzada del material como riesgo para la comercialización</t>
        </is>
      </c>
      <c r="D96" s="20" t="inlineStr">
        <is>
          <t>El ingreso de plástico, vidrio o metal impide que el compost cumpla los límites de la norma técnica NTC 5167 y, en consecuencia, que obtenga el registro de venta ante el ICA. Un lote contaminado no admite corrección posterior. Esto determina que el control de calidad se inicie en la vivienda y no en la planta, y fundamenta el esquema de validación en dos momentos: inspección del operario al recoger y caracterización del rechazo por microrruta en la recepción de planta.</t>
        </is>
      </c>
      <c r="E96" s="34" t="inlineStr"/>
      <c r="F96" s="35" t="inlineStr">
        <is>
          <t>X</t>
        </is>
      </c>
      <c r="G96" s="47" t="inlineStr">
        <is>
          <t>Norma técnica NTC 5167; Guía técnica UAESP y Universidad Nacional
https://tienda.icontec.org/
https://www.uaesp.gov.co/images/Guia-UAESP_SR.pdf</t>
        </is>
      </c>
      <c r="H96" s="1" t="n"/>
    </row>
    <row r="97" ht="93.07249999999999" customHeight="1">
      <c r="A97" s="1" t="n"/>
      <c r="B97" s="68" t="inlineStr">
        <is>
          <t>AMBIENTAL</t>
        </is>
      </c>
      <c r="C97" s="21" t="inlineStr">
        <is>
          <t>Proximidad entre la generación del residuo y la demanda del producto</t>
        </is>
      </c>
      <c r="D97" s="22" t="inlineStr">
        <is>
          <t>El 86 % del territorio de Usme es rural, con 18,500 hectáreas y catorce veredas, mientras que a menos de cincuenta kilómetros la Sabana de Bogotá concentra 76,626 hectáreas sembradas. La distancia entre el punto donde el residuo se genera y el punto donde el producto se demanda es corta, lo que reduce el costo logístico del producto terminado y disminuye la huella de carbono asociada a su transporte.</t>
        </is>
      </c>
      <c r="E97" s="38" t="inlineStr">
        <is>
          <t>X</t>
        </is>
      </c>
      <c r="F97" s="39" t="inlineStr"/>
      <c r="G97" s="49" t="inlineStr">
        <is>
          <t>Secretaría Distrital de Planeación; Evaluaciones Agropecuarias Municipales, MADR
https://www.datos.gov.co/resource/uejq-wxrr.json
https://www.sdp.gov.co/gestion-estudios-estrategicos/informacion-estadisticas/encuesta-multiproposito/resultados</t>
        </is>
      </c>
      <c r="H97" s="1" t="n"/>
    </row>
    <row r="98" ht="16" customHeight="1">
      <c r="A98" s="1" t="n"/>
      <c r="B98" s="1" t="n"/>
      <c r="C98" s="1" t="n"/>
      <c r="D98" s="1" t="n"/>
      <c r="E98" s="1" t="n"/>
      <c r="F98" s="1" t="n"/>
      <c r="G98" s="1" t="n"/>
      <c r="H98" s="1" t="n"/>
    </row>
    <row r="99" ht="26" customHeight="1">
      <c r="A99" s="1" t="n"/>
      <c r="B99" s="69" t="inlineStr">
        <is>
          <t>Síntesis del análisis</t>
        </is>
      </c>
      <c r="C99" s="69" t="n"/>
      <c r="D99" s="69" t="n"/>
      <c r="E99" s="69" t="n"/>
      <c r="F99" s="69" t="n"/>
      <c r="G99" s="69" t="n"/>
      <c r="H99" s="1" t="n"/>
    </row>
    <row r="100" ht="20" customHeight="1">
      <c r="A100" s="1" t="n"/>
      <c r="B100" s="25" t="inlineStr">
        <is>
          <t>Conclusiones</t>
        </is>
      </c>
      <c r="C100" s="25" t="n"/>
      <c r="D100" s="25" t="n"/>
      <c r="E100" s="25" t="n"/>
      <c r="F100" s="25" t="n"/>
      <c r="G100" s="25" t="n"/>
      <c r="H100" s="1" t="n"/>
    </row>
    <row r="101" ht="206.854" customHeight="1">
      <c r="A101" s="1" t="n"/>
      <c r="B101" s="70" t="inlineStr">
        <is>
          <t>CONDICIONES FAVORABLES
Bogotá cuenta con metas vinculantes de tratamiento de residuos orgánicos que no puede cumplir con su infraestructura actual, y el mercado se encuentra prácticamente desatendido: la ciudad trata treinta toneladas mensuales frente a unas 92,000 que entierra. La política nacional impulsa la sustitución del enterramiento y la transición hacia insumos agrícolas de origen biológico. Existe además una ventana temporal concreta: el esquema público de recolección de orgánicos está aplazado hasta al menos 2027 y no incluye a Usme, mientras que el acuerdo distrital de subsidios vence el 31 de diciembre de 2026, lo que abre la oportunidad de incidir en el instrumento que lo reemplace.
CONDICIONES ADVERSAS
El marco tarifario no remunera de forma autónoma el tratamiento de residuos orgánicos en ciudades de más de cinco mil suscriptores, la ley prohíbe otorgar descuentos sobre la factura de servicios públicos, y los hogares objetivo carecen de capacidad de pago. A ello se suma que la recolección domiciliaria, por su naturaleza, concentra el costo en el número de paradas y no en el volumen recogido.
CONCLUSIÓN
La viabilidad técnica está resuelta con tecnología disponible y de bajo costo. La viabilidad financiera depende de estructurar el ingreso sobre el cobro del servicio de tratamiento a quienes hoy pagan por disponer —el Distrito y los grandes generadores— y no sobre la venta del producto. Y la viabilidad social depende de que el incentivo se diseñe como refuerzo de un acompañamiento sostenido, no como su reemplazo.</t>
        </is>
      </c>
      <c r="C101" s="70" t="n"/>
      <c r="D101" s="70" t="n"/>
      <c r="E101" s="70" t="n"/>
      <c r="F101" s="70" t="n"/>
      <c r="G101" s="70" t="n"/>
      <c r="H101" s="1" t="n"/>
    </row>
    <row r="102">
      <c r="A102" s="1" t="n"/>
      <c r="B102" s="1" t="n"/>
      <c r="C102" s="1" t="n"/>
      <c r="D102" s="1" t="n"/>
      <c r="E102" s="1" t="n"/>
      <c r="F102" s="1" t="n"/>
      <c r="G102" s="1" t="n"/>
      <c r="H102" s="1" t="n"/>
    </row>
    <row r="103">
      <c r="A103" s="1" t="n"/>
      <c r="B103" s="1" t="n"/>
      <c r="C103" s="1" t="n"/>
      <c r="D103" s="1" t="n"/>
      <c r="E103" s="1" t="n"/>
      <c r="F103" s="1" t="n"/>
      <c r="G103" s="1" t="n"/>
      <c r="H103" s="1" t="n"/>
    </row>
    <row r="104">
      <c r="A104" s="1" t="n"/>
      <c r="B104" s="1" t="n"/>
      <c r="C104" s="1" t="n"/>
      <c r="D104" s="1" t="n"/>
      <c r="E104" s="1" t="n"/>
      <c r="F104" s="1" t="n"/>
      <c r="G104" s="1" t="n"/>
      <c r="H104" s="1" t="n"/>
    </row>
  </sheetData>
  <mergeCells count="18">
    <mergeCell ref="B3:G3"/>
    <mergeCell ref="B2:G2"/>
    <mergeCell ref="B16:G16"/>
    <mergeCell ref="B33:G33"/>
    <mergeCell ref="B5:G5"/>
    <mergeCell ref="B66:G66"/>
    <mergeCell ref="B99:G99"/>
    <mergeCell ref="B101:G101"/>
    <mergeCell ref="B32:G32"/>
    <mergeCell ref="B4:G4"/>
    <mergeCell ref="B49:G49"/>
    <mergeCell ref="B65:G65"/>
    <mergeCell ref="B83:G83"/>
    <mergeCell ref="B100:G100"/>
    <mergeCell ref="B82:G82"/>
    <mergeCell ref="B48:G48"/>
    <mergeCell ref="B15:G15"/>
    <mergeCell ref="B7:G7"/>
  </mergeCells>
  <printOptions horizontalCentered="1"/>
  <pageMargins left="0.4" right="0.4" top="0.5" bottom="0.5" header="0.5" footer="0.5"/>
  <pageSetup orientation="landscape" paperSize="9" fitToHeight="0" fitToWidth="1"/>
  <ignoredErrors>
    <ignoredError sqref="A1:H104" numberStoredAsText="1"/>
  </ignoredErrors>
</worksheet>
</file>

<file path=xl/worksheets/sheet3.xml><?xml version="1.0" encoding="utf-8"?>
<worksheet xmlns="http://schemas.openxmlformats.org/spreadsheetml/2006/main">
  <sheetPr>
    <tabColor rgb="00A8802C"/>
    <outlinePr summaryBelow="1" summaryRight="1"/>
    <pageSetUpPr fitToPage="1"/>
  </sheetPr>
  <dimension ref="A1:L103"/>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2.43" customWidth="1" min="1" max="1"/>
    <col width="25.86" customWidth="1" min="2" max="2"/>
    <col width="25.86" customWidth="1" min="3" max="3"/>
    <col width="25.86" customWidth="1" min="4" max="4"/>
    <col width="25.86" customWidth="1" min="5" max="5"/>
    <col width="25.86" customWidth="1" min="6" max="6"/>
    <col width="25.86" customWidth="1" min="7" max="7"/>
    <col width="25.86" customWidth="1" min="8" max="8"/>
    <col width="25.86" customWidth="1" min="9" max="9"/>
    <col width="25.86" customWidth="1" min="10" max="10"/>
    <col width="25.86" customWidth="1" min="11" max="11"/>
    <col width="2.43" customWidth="1" min="12" max="12"/>
  </cols>
  <sheetData>
    <row r="1">
      <c r="A1" s="1" t="n"/>
      <c r="B1" s="1" t="n"/>
      <c r="C1" s="1" t="n"/>
      <c r="D1" s="1" t="n"/>
      <c r="E1" s="1" t="n"/>
      <c r="F1" s="1" t="n"/>
      <c r="G1" s="1" t="n"/>
      <c r="H1" s="1" t="n"/>
      <c r="I1" s="1" t="n"/>
      <c r="J1" s="1" t="n"/>
      <c r="K1" s="1" t="n"/>
      <c r="L1" s="1" t="n"/>
    </row>
    <row r="2" ht="46" customHeight="1">
      <c r="A2" s="1" t="n"/>
      <c r="B2" s="2" t="inlineStr">
        <is>
          <t>MODELO DE NEGOCIO CANVAS</t>
        </is>
      </c>
      <c r="C2" s="2" t="n"/>
      <c r="D2" s="2" t="n"/>
      <c r="E2" s="2" t="n"/>
      <c r="F2" s="2" t="n"/>
      <c r="G2" s="2" t="n"/>
      <c r="H2" s="2" t="n"/>
      <c r="I2" s="2" t="n"/>
      <c r="J2" s="2" t="n"/>
      <c r="K2" s="2" t="n"/>
      <c r="L2" s="1" t="n"/>
    </row>
    <row r="3" ht="24" customHeight="1">
      <c r="A3" s="1" t="n"/>
      <c r="B3" s="3" t="inlineStr">
        <is>
          <t>Los nueve bloques en el orden en que se construye un Canvas   ·   Se empieza por la propuesta de valor y se termina por los costos</t>
        </is>
      </c>
      <c r="C3" s="3" t="n"/>
      <c r="D3" s="3" t="n"/>
      <c r="E3" s="3" t="n"/>
      <c r="F3" s="3" t="n"/>
      <c r="G3" s="3" t="n"/>
      <c r="H3" s="3" t="n"/>
      <c r="I3" s="3" t="n"/>
      <c r="J3" s="3" t="n"/>
      <c r="K3" s="3" t="n"/>
      <c r="L3" s="1" t="n"/>
    </row>
    <row r="4" ht="42.59799999999999" customHeight="1">
      <c r="A4" s="1" t="n"/>
      <c r="B4" s="4" t="inlineStr">
        <is>
          <t>Cómo leer este lienzo. Los bloques están ubicados en las posiciones clásicas del Canvas, pero numerados en el orden lógico de construcción: primero se define qué se ofrece y a quién (1 y 2), luego cómo se llega y se conserva a esa gente (3 y 4), después de dónde salen los ingresos (5); solo entonces se define qué se necesita para lograrlo (6, 7 y 8) y, al final, cuánto cuesta todo eso (9). Siga los números, no las columnas.</t>
        </is>
      </c>
      <c r="C4" s="4" t="n"/>
      <c r="D4" s="4" t="n"/>
      <c r="E4" s="4" t="n"/>
      <c r="F4" s="4" t="n"/>
      <c r="G4" s="4" t="n"/>
      <c r="H4" s="4" t="n"/>
      <c r="I4" s="4" t="n"/>
      <c r="J4" s="4" t="n"/>
      <c r="K4" s="4" t="n"/>
      <c r="L4" s="1" t="n"/>
    </row>
    <row r="5" ht="10" customHeight="1">
      <c r="A5" s="1" t="n"/>
      <c r="B5" s="1" t="n"/>
      <c r="C5" s="1" t="n"/>
      <c r="D5" s="1" t="n"/>
      <c r="E5" s="1" t="n"/>
      <c r="F5" s="1" t="n"/>
      <c r="G5" s="1" t="n"/>
      <c r="H5" s="1" t="n"/>
      <c r="I5" s="1" t="n"/>
      <c r="J5" s="1" t="n"/>
      <c r="K5" s="1" t="n"/>
      <c r="L5" s="1" t="n"/>
    </row>
    <row r="6" ht="20" customHeight="1">
      <c r="A6" s="1" t="n"/>
      <c r="B6" s="5" t="inlineStr">
        <is>
          <t>El lienzo completo</t>
        </is>
      </c>
      <c r="C6" s="5" t="n"/>
      <c r="D6" s="5" t="n"/>
      <c r="E6" s="5" t="n"/>
      <c r="F6" s="5" t="n"/>
      <c r="G6" s="5" t="n"/>
      <c r="H6" s="5" t="n"/>
      <c r="I6" s="5" t="n"/>
      <c r="J6" s="5" t="n"/>
      <c r="K6" s="5" t="n"/>
      <c r="L6" s="1" t="n"/>
    </row>
    <row r="7" ht="21" customHeight="1">
      <c r="A7" s="1" t="n"/>
      <c r="B7" s="71" t="inlineStr">
        <is>
          <t>8 · SOCIOS CLAVE</t>
        </is>
      </c>
      <c r="C7" s="71" t="n"/>
      <c r="D7" s="72" t="inlineStr">
        <is>
          <t>7 · ACTIVIDADES CLAVE</t>
        </is>
      </c>
      <c r="E7" s="72" t="n"/>
      <c r="F7" s="73" t="inlineStr">
        <is>
          <t>1 · PROPUESTA DE VALOR</t>
        </is>
      </c>
      <c r="G7" s="73" t="n"/>
      <c r="H7" s="74" t="inlineStr">
        <is>
          <t>4 · RELACIÓN CON LOS CLIENTES</t>
        </is>
      </c>
      <c r="I7" s="74" t="n"/>
      <c r="J7" s="71" t="inlineStr">
        <is>
          <t>2 · SEGMENTOS DE CLIENTES</t>
        </is>
      </c>
      <c r="K7" s="71" t="n"/>
      <c r="L7" s="1" t="n"/>
    </row>
    <row r="8" ht="33.49639502164501" customHeight="1">
      <c r="A8" s="1" t="n"/>
      <c r="B8" s="75" t="inlineStr">
        <is>
          <t>SIN ESTOS NO HAY PROYECTO
1. LA UAESP Y LA ALCALDÍA LOCAL DE USME. Son quienes pagan el contrato de tratamiento, quienes ponen los recursos del Fondo de Desarrollo Local y quienes pueden aportar el lote de la planta, que es uno de los gastos más pesados de toda la operación.
2. LAS ORGANIZACIONES DE RECICLADORES. Aquí hay que aclarar algo que se suele confundir: la ley les reserva el material RECICLABLE —papel, cartón, vidrio, metal—, no la comida. Para trabajar con residuos de comida NO se necesita su permiso. Pero sí conviene aliarse, porque ya tienen rutas armadas, conocen el barrio casa por casa y tienen una legitimidad que no se compra. En Usme están COOPARAUS y ASOBEUM.
AYUDAN MUCHO
4. El Acueducto de Bogotá, para abonar el incentivo a la cuenta de la familia.
5. AGROSAVIA, que está en Mosquera, para certificar que el abono sirve. El campesino no compra sin eso.
6. Empresas padrino, que ponen los aparatos y descuentan el 25 % de impuestos.
7. Asociaciones de paperos y floricultores, para vender sin intermediarios.
8. Talleres de rotomoldeo de Bogotá, que fabrican el chasis y la tapa con molde propio del proyecto.</t>
        </is>
      </c>
      <c r="C8" s="75" t="n"/>
      <c r="D8" s="76" t="inlineStr">
        <is>
          <t>1. FABRICAR Y ARMAR EL APARATO. Las piezas plásticas se hacen en Bogotá; la electrónica y el motor se importan; el armado final es aquí, lo que genera empleo local.
2. INSTALAR Y ENSEÑAR. Llevar el aparato a la casa, conectarlo y enseñar a usarlo. Aquí se gana o se pierde el proyecto.
3. VIGILAR LOS SENSORES. La plataforma recibe los avisos de llenado y arma el mapa de la ciudad.
4. ARMAR LA RUTA DEL DÍA. Cada mañana el sistema calcula por dónde debe pasar el camión, pasando solo donde hay algo que recoger. Eso ahorra entre 15 % y 30 % de recorrido.
5. RECOGER, PESAR Y VALIDAR. El operario escanea el carné, confirma el peso y revisa que no haya plástico ni vidrio.
6. HACER EL ABONO. Compostar, madurar, voltear, analizar en laboratorio y empacar cumpliendo la norma NTC 5167.
7. VENDER. Colocar el abono en fincas y almacenes.
8. GESTIONAR LA REGULACIÓN. Obtener de la CRA el reconocimiento del tratamiento en la tarifa con base en el artículo 31 de la Resolución 720 de 2015, sacar el registro ICA, el permiso ambiental y reportar las toneladas. Sin esto no hay ingreso; no es un trámite, es el negocio.</t>
        </is>
      </c>
      <c r="E8" s="76" t="n"/>
      <c r="F8" s="77" t="inlineStr">
        <is>
          <t>EN UNA FRASE
Recoevo le quita a la familia la parte más molesta de su basura, le entrega el equipo y los insumos para manejarla sin costo, le reconoce en dinero lo que separa, y convierte esa comida en el abono que hoy Colombia compra en el exterior.
EL PROBLEMA QUE RESOLVEMOS, VISTO DESDE LA COCINA
Más de la mitad de lo que una casa bota es comida, y es justamente la parte que huele, la que gotea, la que atrae moscas y roedores y la que obliga a sacar la bolsa antes de que se llene. Una familia de Usme saca la basura tres veces por semana, y lo hace por el olor, no por el volumen. Hoy esa molestia diaria no le sirve de nada a nadie.
LO PRIMERO QUE GANA LA FAMILIA NO ES DINERO
Es que la cocina deja de oler. El aparato muele la comida, la sella con un empaque de caucho, extrae el aire hacia un filtro de carbón y la cubre con material seco. No hay bolsa abierta bajo el lavaplatos, no hay goteo, no hay moscas y la basura común que sí sale a la calle pesa la mitad y no huele. Eso es lo que la familia nota el primer día, y es lo que sostiene la costumbre cuando el incentivo deja de ser novedad. La evidencia de Corea del Sur es contundente en esto: lo que sostiene la conducta es la comodidad y ver el resultado al instante, no el tamaño del premio.
LO SEGUNDO ES QUE NO PAGA NADA POR NADA
El aparato, que cuesta $258,044, se le entrega y queda en propiedad del hogar. Las bolsas, el cartucho de carbón y el material seco los deja el operario en cada visita: son $17,300 al año que la familia no desembolsa. No paga instalación, no usa el internet de la casa porque el aparato tiene su propia antena, y no consume datos de ningún celular.
LO TERCERO SÍ ES DINERO, Y ESTE ES EL NÚMERO COMPLETO
El hogar que separa bien recibe hasta $1,500 al mes. Sumados los insumos, el paquete vale $2,942 mensuales. El aparato consume medio kilovatio hora al mes, que con la tarifa de Enel-Codensa y el subsidio de estrato 1 o 2 cuesta entre $173 y $216. El beneficio neto, ya descontada la luz, es de $2,726 al mes, es decir $32,708 al año. Para dimensionarlo: es el 20 % de lo que esa misma familia paga al año por todo el servicio de aseo.
CÓMO SE LE ENTREGA ESE DINERO, PORQUE LA LEY NO PERMITE UN DESCUENTO
Conviene decirlo con precisión, porque suele confundirse. La Ley 142 de 1994 prohíbe descontar sobre el valor facturado de un servicio público, así que Recoevo NO le hace un descuento a la familia. Lo que hace es pagar por ella: abona dinero a su cuenta contrato en el Acueducto, como pago de un tercero, figura que el artículo 1630 del Código Civil permite expresamente. La tarifa de la familia sigue siendo idéntica a la de su vecino; lo que cambia es que una parte de su factura ya está pagada.
LO QUE GANA EL BARRIO
Usme tiene once puntos críticos de basura en la calle, y todos se forman alrededor de residuo orgánico: un montón de cartón y plástico no atrae roedores, uno de comida sí. Sacar la comida del flujo es lo que acaba con el punto crítico, con el olor de la esquina y con las moscas del andén.
LO QUE GANA EL ESTABLECIMIENTO
Un restaurante de 18 kilos diarios deja de pagar $1,032,426 al año en su factura de aseo, porque esas toneladas salen de su aforo, y le paga al programa $756,000. Gana $276,426 al año, recibe el equipo en comodato sin invertir un peso y queda cumpliendo la Resolución 2184 de 2019, que obliga a separar en la fuente y que las secretarías de salud y ambiente inspeccionan.
LO QUE GANA LA CIUDAD
Toneladas que no llegan al relleno, contadas casa por casa y auditables. Bogotá se comprometió a tratar el 20 % de sus residuos de comida y hoy trata el 0.03 %. Además, cada tonelada domiciliaria le ahorra $41,190: hoy gasta $191,190 en recogerla, enterrarla y tratar el líquido que suelta, y al programa le paga $150,000 por recogerla y convertirla en abono.
LO QUE GANA EL CAMPESINO DE LA SABANA
Abono producido a menos de cincuenta kilómetros, a precio estable y dentro del rango de mercado. La urea subió 36 % en un año y triplicó su precio en 2022; el abono orgánico se mueve la mitad. Y devuelve al suelo la materia orgánica que le falta al 80 % de las tierras de Cundinamarca.
POR QUÉ NADIE MÁS LO HACE
Porque hay que resolver tres cosas a la vez: que el aparato no huela dentro de una cocina pequeña, que avise sin internet y sin cobrarle datos a nadie, y que el abono resultante cumpla la norma del ICA para poder venderse. Las tres están resueltas y documentadas en este trabajo.</t>
        </is>
      </c>
      <c r="G8" s="77" t="n"/>
      <c r="H8" s="78" t="inlineStr">
        <is>
          <t>LA CLAVE: acompañar, no vigilar.
AL PRINCIPIO
Instalamos el aparato en la casa, mostramos cómo se usa y entregamos el carné. Nadie separa bien si nadie le explicó.
TODAS LAS SEMANAS
El operario pasa, pesa, escanea el carné y le dice a la familia cuántos puntos ganó. Ese contacto semanal es lo que sostiene la costumbre.
EN EL MOMENTO
El aparato muestra el peso y los puntos apenas cierra la tapa. Esto no es un detalle: en Corea del Sur lo que hizo funcionar el sistema no fue el premio, fue ver el resultado al instante.
CUANDO ALGO SALE MAL
Primero se avisa y se explica. La mayoría de los errores son por no saber, no por mala fe. Solo si sigue pasando se bajan los puntos. El retiro del equipo es el último recurso y solo aplica a equipos prestados.
CON EL BARRIO
Cada tres meses se cuenta en asamblea cuántas toneladas sacó el barrio y cuánto recibieron las familias. La competencia sana entre cuadras funciona mejor que cualquier campaña.</t>
        </is>
      </c>
      <c r="I8" s="78" t="n"/>
      <c r="J8" s="75" t="inlineStr">
        <is>
          <t>Conviene distinguir dos grupos: uno usa el servicio y el otro lo paga.
QUIÉN LO USA (no paga nada)
· 12,000 hogares de estrato 1 y 2 de Usme.
· 346 establecimientos: colegios, la plaza de mercado, comedores, restaurantes y tiendas de alimentos.
· Arrancamos por Gran Yomasa y Comuneros: ahí vive el 57.7 % de la localidad.
· Primero conjuntos y edificios, después casas sueltas. En Corea el sistema funcionó al 81.6 % en apartamentos y solo al 37.9 % en casas: cuando el vecino ve, la gente separa mejor.
QUIÉN PAGA
1. LA ALCALDÍA DE BOGOTÁ (cliente principal). Nos paga por tonelada tratada. Compra el cumplimiento de una meta que hoy no puede cumplir.
2. COLEGIOS, PLAZAS DE MERCADO, RESTAURANTES Y COMEDORES de Usme. Nos pagan por recogerles sus residuos de comida, más barato de lo que les cuesta hoy. Es el cliente que da volumen rápido y sin regalar aparatos.
3. CAMPESINOS Y FLORICULTORES de la Sabana. Compran el abono. Papa en Villapinzón, Tausa, Chocontá y Subachoque; flores en Madrid, Facatativá y El Rosal.
4. EMPRESAS QUE APADRINAN. Pagan los aparatos de familias que no pueden comprarlos y descuentan el 25 % de impuestos.</t>
        </is>
      </c>
      <c r="K8" s="75" t="n"/>
      <c r="L8" s="1" t="n"/>
    </row>
    <row r="9" ht="33.49639502164501" customHeight="1">
      <c r="A9" s="1" t="n"/>
      <c r="B9" s="75" t="n"/>
      <c r="C9" s="75" t="n"/>
      <c r="D9" s="76" t="n"/>
      <c r="E9" s="76" t="n"/>
      <c r="F9" s="77" t="n"/>
      <c r="G9" s="77" t="n"/>
      <c r="H9" s="78" t="n"/>
      <c r="I9" s="78" t="n"/>
      <c r="J9" s="75" t="n"/>
      <c r="K9" s="75" t="n"/>
      <c r="L9" s="1" t="n"/>
    </row>
    <row r="10" ht="33.49639502164501" customHeight="1">
      <c r="A10" s="1" t="n"/>
      <c r="B10" s="75" t="n"/>
      <c r="C10" s="75" t="n"/>
      <c r="D10" s="76" t="n"/>
      <c r="E10" s="76" t="n"/>
      <c r="F10" s="77" t="n"/>
      <c r="G10" s="77" t="n"/>
      <c r="H10" s="78" t="n"/>
      <c r="I10" s="78" t="n"/>
      <c r="J10" s="75" t="n"/>
      <c r="K10" s="75" t="n"/>
      <c r="L10" s="1" t="n"/>
    </row>
    <row r="11" ht="33.49639502164501" customHeight="1">
      <c r="A11" s="1" t="n"/>
      <c r="B11" s="75" t="n"/>
      <c r="C11" s="75" t="n"/>
      <c r="D11" s="76" t="n"/>
      <c r="E11" s="76" t="n"/>
      <c r="F11" s="77" t="n"/>
      <c r="G11" s="77" t="n"/>
      <c r="H11" s="78" t="n"/>
      <c r="I11" s="78" t="n"/>
      <c r="J11" s="75" t="n"/>
      <c r="K11" s="75" t="n"/>
      <c r="L11" s="1" t="n"/>
    </row>
    <row r="12" ht="33.49639502164501" customHeight="1">
      <c r="A12" s="1" t="n"/>
      <c r="B12" s="75" t="n"/>
      <c r="C12" s="75" t="n"/>
      <c r="D12" s="76" t="n"/>
      <c r="E12" s="76" t="n"/>
      <c r="F12" s="77" t="n"/>
      <c r="G12" s="77" t="n"/>
      <c r="H12" s="78" t="n"/>
      <c r="I12" s="78" t="n"/>
      <c r="J12" s="75" t="n"/>
      <c r="K12" s="75" t="n"/>
      <c r="L12" s="1" t="n"/>
    </row>
    <row r="13" ht="33.49639502164501" customHeight="1">
      <c r="A13" s="1" t="n"/>
      <c r="B13" s="75" t="n"/>
      <c r="C13" s="75" t="n"/>
      <c r="D13" s="76" t="n"/>
      <c r="E13" s="76" t="n"/>
      <c r="F13" s="77" t="n"/>
      <c r="G13" s="77" t="n"/>
      <c r="H13" s="78" t="n"/>
      <c r="I13" s="78" t="n"/>
      <c r="J13" s="75" t="n"/>
      <c r="K13" s="75" t="n"/>
      <c r="L13" s="1" t="n"/>
    </row>
    <row r="14" ht="33.49639502164501" customHeight="1">
      <c r="A14" s="1" t="n"/>
      <c r="B14" s="75" t="n"/>
      <c r="C14" s="75" t="n"/>
      <c r="D14" s="76" t="n"/>
      <c r="E14" s="76" t="n"/>
      <c r="F14" s="77" t="n"/>
      <c r="G14" s="77" t="n"/>
      <c r="H14" s="78" t="n"/>
      <c r="I14" s="78" t="n"/>
      <c r="J14" s="75" t="n"/>
      <c r="K14" s="75" t="n"/>
      <c r="L14" s="1" t="n"/>
    </row>
    <row r="15" ht="33.49639502164501" customHeight="1">
      <c r="A15" s="1" t="n"/>
      <c r="B15" s="75" t="n"/>
      <c r="C15" s="75" t="n"/>
      <c r="D15" s="76" t="n"/>
      <c r="E15" s="76" t="n"/>
      <c r="F15" s="77" t="n"/>
      <c r="G15" s="77" t="n"/>
      <c r="H15" s="78" t="n"/>
      <c r="I15" s="78" t="n"/>
      <c r="J15" s="75" t="n"/>
      <c r="K15" s="75" t="n"/>
      <c r="L15" s="1" t="n"/>
    </row>
    <row r="16" ht="33.49639502164501" customHeight="1">
      <c r="A16" s="1" t="n"/>
      <c r="B16" s="75" t="n"/>
      <c r="C16" s="75" t="n"/>
      <c r="D16" s="76" t="n"/>
      <c r="E16" s="76" t="n"/>
      <c r="F16" s="77" t="n"/>
      <c r="G16" s="77" t="n"/>
      <c r="H16" s="78" t="n"/>
      <c r="I16" s="78" t="n"/>
      <c r="J16" s="75" t="n"/>
      <c r="K16" s="75" t="n"/>
      <c r="L16" s="1" t="n"/>
    </row>
    <row r="17" ht="33.49639502164501" customHeight="1">
      <c r="A17" s="1" t="n"/>
      <c r="B17" s="75" t="n"/>
      <c r="C17" s="75" t="n"/>
      <c r="D17" s="76" t="n"/>
      <c r="E17" s="76" t="n"/>
      <c r="F17" s="77" t="n"/>
      <c r="G17" s="77" t="n"/>
      <c r="H17" s="78" t="n"/>
      <c r="I17" s="78" t="n"/>
      <c r="J17" s="75" t="n"/>
      <c r="K17" s="75" t="n"/>
      <c r="L17" s="1" t="n"/>
    </row>
    <row r="18" ht="33.49639502164501" customHeight="1">
      <c r="A18" s="1" t="n"/>
      <c r="B18" s="75" t="n"/>
      <c r="C18" s="75" t="n"/>
      <c r="D18" s="76" t="n"/>
      <c r="E18" s="76" t="n"/>
      <c r="F18" s="77" t="n"/>
      <c r="G18" s="77" t="n"/>
      <c r="H18" s="78" t="n"/>
      <c r="I18" s="78" t="n"/>
      <c r="J18" s="75" t="n"/>
      <c r="K18" s="75" t="n"/>
      <c r="L18" s="1" t="n"/>
    </row>
    <row r="19" ht="33.49639502164501" customHeight="1">
      <c r="A19" s="1" t="n"/>
      <c r="B19" s="75" t="n"/>
      <c r="C19" s="75" t="n"/>
      <c r="D19" s="76" t="n"/>
      <c r="E19" s="76" t="n"/>
      <c r="F19" s="77" t="n"/>
      <c r="G19" s="77" t="n"/>
      <c r="H19" s="78" t="n"/>
      <c r="I19" s="78" t="n"/>
      <c r="J19" s="75" t="n"/>
      <c r="K19" s="75" t="n"/>
      <c r="L19" s="1" t="n"/>
    </row>
    <row r="20" ht="33.49639502164501" customHeight="1">
      <c r="A20" s="1" t="n"/>
      <c r="B20" s="75" t="n"/>
      <c r="C20" s="75" t="n"/>
      <c r="D20" s="76" t="n"/>
      <c r="E20" s="76" t="n"/>
      <c r="F20" s="77" t="n"/>
      <c r="G20" s="77" t="n"/>
      <c r="H20" s="78" t="n"/>
      <c r="I20" s="78" t="n"/>
      <c r="J20" s="75" t="n"/>
      <c r="K20" s="75" t="n"/>
      <c r="L20" s="1" t="n"/>
    </row>
    <row r="21" ht="33.49639502164501" customHeight="1">
      <c r="A21" s="1" t="n"/>
      <c r="B21" s="75" t="n"/>
      <c r="C21" s="75" t="n"/>
      <c r="D21" s="76" t="n"/>
      <c r="E21" s="76" t="n"/>
      <c r="F21" s="77" t="n"/>
      <c r="G21" s="77" t="n"/>
      <c r="H21" s="78" t="n"/>
      <c r="I21" s="78" t="n"/>
      <c r="J21" s="75" t="n"/>
      <c r="K21" s="75" t="n"/>
      <c r="L21" s="1" t="n"/>
    </row>
    <row r="22" ht="33.49639502164501" customHeight="1">
      <c r="A22" s="1" t="n"/>
      <c r="B22" s="75" t="n"/>
      <c r="C22" s="75" t="n"/>
      <c r="D22" s="76" t="n"/>
      <c r="E22" s="76" t="n"/>
      <c r="F22" s="77" t="n"/>
      <c r="G22" s="77" t="n"/>
      <c r="H22" s="78" t="n"/>
      <c r="I22" s="78" t="n"/>
      <c r="J22" s="75" t="n"/>
      <c r="K22" s="75" t="n"/>
      <c r="L22" s="1" t="n"/>
    </row>
    <row r="23" ht="33.49639502164501" customHeight="1">
      <c r="A23" s="1" t="n"/>
      <c r="B23" s="75" t="n"/>
      <c r="C23" s="75" t="n"/>
      <c r="D23" s="76" t="n"/>
      <c r="E23" s="76" t="n"/>
      <c r="F23" s="77" t="n"/>
      <c r="G23" s="77" t="n"/>
      <c r="H23" s="78" t="n"/>
      <c r="I23" s="78" t="n"/>
      <c r="J23" s="75" t="n"/>
      <c r="K23" s="75" t="n"/>
      <c r="L23" s="1" t="n"/>
    </row>
    <row r="24" ht="33.49639502164501" customHeight="1">
      <c r="A24" s="1" t="n"/>
      <c r="B24" s="75" t="n"/>
      <c r="C24" s="75" t="n"/>
      <c r="D24" s="76" t="n"/>
      <c r="E24" s="76" t="n"/>
      <c r="F24" s="77" t="n"/>
      <c r="G24" s="77" t="n"/>
      <c r="H24" s="78" t="n"/>
      <c r="I24" s="78" t="n"/>
      <c r="J24" s="75" t="n"/>
      <c r="K24" s="75" t="n"/>
      <c r="L24" s="1" t="n"/>
    </row>
    <row r="25" ht="33.49639502164501" customHeight="1">
      <c r="A25" s="1" t="n"/>
      <c r="B25" s="75" t="n"/>
      <c r="C25" s="75" t="n"/>
      <c r="D25" s="76" t="n"/>
      <c r="E25" s="76" t="n"/>
      <c r="F25" s="77" t="n"/>
      <c r="G25" s="77" t="n"/>
      <c r="H25" s="78" t="n"/>
      <c r="I25" s="78" t="n"/>
      <c r="J25" s="75" t="n"/>
      <c r="K25" s="75" t="n"/>
      <c r="L25" s="1" t="n"/>
    </row>
    <row r="26" ht="33.49639502164501" customHeight="1">
      <c r="A26" s="1" t="n"/>
      <c r="B26" s="75" t="n"/>
      <c r="C26" s="75" t="n"/>
      <c r="D26" s="76" t="n"/>
      <c r="E26" s="76" t="n"/>
      <c r="F26" s="77" t="n"/>
      <c r="G26" s="77" t="n"/>
      <c r="H26" s="78" t="n"/>
      <c r="I26" s="78" t="n"/>
      <c r="J26" s="75" t="n"/>
      <c r="K26" s="75" t="n"/>
      <c r="L26" s="1" t="n"/>
    </row>
    <row r="27" ht="33.49639502164501" customHeight="1">
      <c r="A27" s="1" t="n"/>
      <c r="B27" s="75" t="n"/>
      <c r="C27" s="75" t="n"/>
      <c r="D27" s="76" t="n"/>
      <c r="E27" s="76" t="n"/>
      <c r="F27" s="77" t="n"/>
      <c r="G27" s="77" t="n"/>
      <c r="H27" s="78" t="n"/>
      <c r="I27" s="78" t="n"/>
      <c r="J27" s="75" t="n"/>
      <c r="K27" s="75" t="n"/>
      <c r="L27" s="1" t="n"/>
    </row>
    <row r="28" ht="33.49639502164501" customHeight="1">
      <c r="A28" s="1" t="n"/>
      <c r="B28" s="75" t="n"/>
      <c r="C28" s="75" t="n"/>
      <c r="D28" s="76" t="n"/>
      <c r="E28" s="76" t="n"/>
      <c r="F28" s="77" t="n"/>
      <c r="G28" s="77" t="n"/>
      <c r="H28" s="78" t="n"/>
      <c r="I28" s="78" t="n"/>
      <c r="J28" s="75" t="n"/>
      <c r="K28" s="75" t="n"/>
      <c r="L28" s="1" t="n"/>
    </row>
    <row r="29" ht="28.73570454545454" customHeight="1">
      <c r="A29" s="1" t="n"/>
      <c r="B29" s="75" t="n"/>
      <c r="C29" s="75" t="n"/>
      <c r="D29" s="72" t="inlineStr">
        <is>
          <t>6 · RECURSOS CLAVE</t>
        </is>
      </c>
      <c r="E29" s="72" t="n"/>
      <c r="F29" s="77" t="n"/>
      <c r="G29" s="77" t="n"/>
      <c r="H29" s="74" t="inlineStr">
        <is>
          <t>3 · CANALES</t>
        </is>
      </c>
      <c r="I29" s="74" t="n"/>
      <c r="J29" s="75" t="n"/>
      <c r="K29" s="75" t="n"/>
      <c r="L29" s="1" t="n"/>
    </row>
    <row r="30" ht="28.73570454545454" customHeight="1">
      <c r="A30" s="1" t="n"/>
      <c r="B30" s="75" t="n"/>
      <c r="C30" s="75" t="n"/>
      <c r="D30" s="76" t="inlineStr">
        <is>
          <t>LO QUE NO SE PUEDE COPIAR FÁCIL
1. LOS APARATOS YA INSTALADOS. Una vez la familia lo tiene en la cocina y acumula puntos, cambiarse cuesta. Es nuestra principal barrera de entrada.
2. LA RED DE ANTENAS PROPIA. Instaladas en colegios y estaciones del TransMiCable, gratis, en lo alto de los cerros. Cuesta 43 veces menos que pagarle a un operador de celular.
3. LOS DATOS. Hoy nadie en Bogotá sabe cuánta basura produce cada barrio: la UAESP solo tiene el dato por zonas grandes. Nosotros lo sabríamos casa por casa y día por día. Ese dato tiene valor propio.
4. LA PLANTA con su permiso ambiental y el registro del ICA. Sin registro no se puede vender abono, y sacarlo toma tiempo.
5. LA ALIANZA CON LOS RECICLADORES. No es un requisito legal para trabajar con comida —eso se aclara en el bloque 8— pero sí es un activo: ellos ya tienen rutas armadas y conocen el barrio casa por casa, que es lo que más cuesta construir desde cero.
6. EL EQUIPO. Hace falta gente de tres mundos que casi nunca trabajan junta: ingeniería de producto, logística y trabajo social de barrio.</t>
        </is>
      </c>
      <c r="E30" s="76" t="n"/>
      <c r="F30" s="77" t="n"/>
      <c r="G30" s="77" t="n"/>
      <c r="H30" s="78" t="inlineStr">
        <is>
          <t>CÓMO LLEGAMOS A LAS FAMILIAS
· Juntas de Acción Comunal y administradores de conjuntos. Son la puerta de entrada al barrio.
· Jornadas de instalación casa por casa, con demostración en vivo.
· La Alcaldía Local, que ya tiene identificadas a las familias por Sisbén.
CÓMO NOS MANTENEMOS EN CONTACTO
· El camión de recolección. Es nuestro canal más importante: pasa cada semana, cambia el filtro y deja las bolsas. No es solo un camión, es nuestro punto de servicio.
· WhatsApp para consultar puntos. Sin aplicaciones que instalar ni datos que gastar.
CÓMO VENDEMOS EL ABONO
· Venta directa en finca y a través de asociaciones de productores.
· Almacenes agropecuarios de la Sabana.
· Contratos con la Alcaldía para parques, arbolado y huertas urbanas.
CÓMO CONSEGUIMOS LOS CLIENTES INSTITUCIONALES
· Visita directa a colegios, plazas y comedores. Es una venta cara a cara, corta y con cifras.</t>
        </is>
      </c>
      <c r="I30" s="78" t="n"/>
      <c r="J30" s="75" t="n"/>
      <c r="K30" s="75" t="n"/>
      <c r="L30" s="1" t="n"/>
    </row>
    <row r="31" ht="28.73570454545454" customHeight="1">
      <c r="A31" s="1" t="n"/>
      <c r="B31" s="75" t="n"/>
      <c r="C31" s="75" t="n"/>
      <c r="D31" s="76" t="n"/>
      <c r="E31" s="76" t="n"/>
      <c r="F31" s="77" t="n"/>
      <c r="G31" s="77" t="n"/>
      <c r="H31" s="78" t="n"/>
      <c r="I31" s="78" t="n"/>
      <c r="J31" s="75" t="n"/>
      <c r="K31" s="75" t="n"/>
      <c r="L31" s="1" t="n"/>
    </row>
    <row r="32" ht="28.73570454545454" customHeight="1">
      <c r="A32" s="1" t="n"/>
      <c r="B32" s="75" t="n"/>
      <c r="C32" s="75" t="n"/>
      <c r="D32" s="76" t="n"/>
      <c r="E32" s="76" t="n"/>
      <c r="F32" s="77" t="n"/>
      <c r="G32" s="77" t="n"/>
      <c r="H32" s="78" t="n"/>
      <c r="I32" s="78" t="n"/>
      <c r="J32" s="75" t="n"/>
      <c r="K32" s="75" t="n"/>
      <c r="L32" s="1" t="n"/>
    </row>
    <row r="33" ht="28.73570454545454" customHeight="1">
      <c r="A33" s="1" t="n"/>
      <c r="B33" s="75" t="n"/>
      <c r="C33" s="75" t="n"/>
      <c r="D33" s="76" t="n"/>
      <c r="E33" s="76" t="n"/>
      <c r="F33" s="77" t="n"/>
      <c r="G33" s="77" t="n"/>
      <c r="H33" s="78" t="n"/>
      <c r="I33" s="78" t="n"/>
      <c r="J33" s="75" t="n"/>
      <c r="K33" s="75" t="n"/>
      <c r="L33" s="1" t="n"/>
    </row>
    <row r="34" ht="28.73570454545454" customHeight="1">
      <c r="A34" s="1" t="n"/>
      <c r="B34" s="75" t="n"/>
      <c r="C34" s="75" t="n"/>
      <c r="D34" s="76" t="n"/>
      <c r="E34" s="76" t="n"/>
      <c r="F34" s="77" t="n"/>
      <c r="G34" s="77" t="n"/>
      <c r="H34" s="78" t="n"/>
      <c r="I34" s="78" t="n"/>
      <c r="J34" s="75" t="n"/>
      <c r="K34" s="75" t="n"/>
      <c r="L34" s="1" t="n"/>
    </row>
    <row r="35" ht="28.73570454545454" customHeight="1">
      <c r="A35" s="1" t="n"/>
      <c r="B35" s="75" t="n"/>
      <c r="C35" s="75" t="n"/>
      <c r="D35" s="76" t="n"/>
      <c r="E35" s="76" t="n"/>
      <c r="F35" s="77" t="n"/>
      <c r="G35" s="77" t="n"/>
      <c r="H35" s="78" t="n"/>
      <c r="I35" s="78" t="n"/>
      <c r="J35" s="75" t="n"/>
      <c r="K35" s="75" t="n"/>
      <c r="L35" s="1" t="n"/>
    </row>
    <row r="36" ht="28.73570454545454" customHeight="1">
      <c r="A36" s="1" t="n"/>
      <c r="B36" s="75" t="n"/>
      <c r="C36" s="75" t="n"/>
      <c r="D36" s="76" t="n"/>
      <c r="E36" s="76" t="n"/>
      <c r="F36" s="77" t="n"/>
      <c r="G36" s="77" t="n"/>
      <c r="H36" s="78" t="n"/>
      <c r="I36" s="78" t="n"/>
      <c r="J36" s="75" t="n"/>
      <c r="K36" s="75" t="n"/>
      <c r="L36" s="1" t="n"/>
    </row>
    <row r="37" ht="28.73570454545454" customHeight="1">
      <c r="A37" s="1" t="n"/>
      <c r="B37" s="75" t="n"/>
      <c r="C37" s="75" t="n"/>
      <c r="D37" s="76" t="n"/>
      <c r="E37" s="76" t="n"/>
      <c r="F37" s="77" t="n"/>
      <c r="G37" s="77" t="n"/>
      <c r="H37" s="78" t="n"/>
      <c r="I37" s="78" t="n"/>
      <c r="J37" s="75" t="n"/>
      <c r="K37" s="75" t="n"/>
      <c r="L37" s="1" t="n"/>
    </row>
    <row r="38" ht="28.73570454545454" customHeight="1">
      <c r="A38" s="1" t="n"/>
      <c r="B38" s="75" t="n"/>
      <c r="C38" s="75" t="n"/>
      <c r="D38" s="76" t="n"/>
      <c r="E38" s="76" t="n"/>
      <c r="F38" s="77" t="n"/>
      <c r="G38" s="77" t="n"/>
      <c r="H38" s="78" t="n"/>
      <c r="I38" s="78" t="n"/>
      <c r="J38" s="75" t="n"/>
      <c r="K38" s="75" t="n"/>
      <c r="L38" s="1" t="n"/>
    </row>
    <row r="39" ht="28.73570454545454" customHeight="1">
      <c r="A39" s="1" t="n"/>
      <c r="B39" s="75" t="n"/>
      <c r="C39" s="75" t="n"/>
      <c r="D39" s="76" t="n"/>
      <c r="E39" s="76" t="n"/>
      <c r="F39" s="77" t="n"/>
      <c r="G39" s="77" t="n"/>
      <c r="H39" s="78" t="n"/>
      <c r="I39" s="78" t="n"/>
      <c r="J39" s="75" t="n"/>
      <c r="K39" s="75" t="n"/>
      <c r="L39" s="1" t="n"/>
    </row>
    <row r="40" ht="28.73570454545454" customHeight="1">
      <c r="A40" s="1" t="n"/>
      <c r="B40" s="75" t="n"/>
      <c r="C40" s="75" t="n"/>
      <c r="D40" s="76" t="n"/>
      <c r="E40" s="76" t="n"/>
      <c r="F40" s="77" t="n"/>
      <c r="G40" s="77" t="n"/>
      <c r="H40" s="78" t="n"/>
      <c r="I40" s="78" t="n"/>
      <c r="J40" s="75" t="n"/>
      <c r="K40" s="75" t="n"/>
      <c r="L40" s="1" t="n"/>
    </row>
    <row r="41" ht="28.73570454545454" customHeight="1">
      <c r="A41" s="1" t="n"/>
      <c r="B41" s="75" t="n"/>
      <c r="C41" s="75" t="n"/>
      <c r="D41" s="76" t="n"/>
      <c r="E41" s="76" t="n"/>
      <c r="F41" s="77" t="n"/>
      <c r="G41" s="77" t="n"/>
      <c r="H41" s="78" t="n"/>
      <c r="I41" s="78" t="n"/>
      <c r="J41" s="75" t="n"/>
      <c r="K41" s="75" t="n"/>
      <c r="L41" s="1" t="n"/>
    </row>
    <row r="42" ht="28.73570454545454" customHeight="1">
      <c r="A42" s="1" t="n"/>
      <c r="B42" s="75" t="n"/>
      <c r="C42" s="75" t="n"/>
      <c r="D42" s="76" t="n"/>
      <c r="E42" s="76" t="n"/>
      <c r="F42" s="77" t="n"/>
      <c r="G42" s="77" t="n"/>
      <c r="H42" s="78" t="n"/>
      <c r="I42" s="78" t="n"/>
      <c r="J42" s="75" t="n"/>
      <c r="K42" s="75" t="n"/>
      <c r="L42" s="1" t="n"/>
    </row>
    <row r="43" ht="28.73570454545454" customHeight="1">
      <c r="A43" s="1" t="n"/>
      <c r="B43" s="75" t="n"/>
      <c r="C43" s="75" t="n"/>
      <c r="D43" s="76" t="n"/>
      <c r="E43" s="76" t="n"/>
      <c r="F43" s="77" t="n"/>
      <c r="G43" s="77" t="n"/>
      <c r="H43" s="78" t="n"/>
      <c r="I43" s="78" t="n"/>
      <c r="J43" s="75" t="n"/>
      <c r="K43" s="75" t="n"/>
      <c r="L43" s="1" t="n"/>
    </row>
    <row r="44" ht="28.73570454545454" customHeight="1">
      <c r="A44" s="1" t="n"/>
      <c r="B44" s="75" t="n"/>
      <c r="C44" s="75" t="n"/>
      <c r="D44" s="76" t="n"/>
      <c r="E44" s="76" t="n"/>
      <c r="F44" s="77" t="n"/>
      <c r="G44" s="77" t="n"/>
      <c r="H44" s="78" t="n"/>
      <c r="I44" s="78" t="n"/>
      <c r="J44" s="75" t="n"/>
      <c r="K44" s="75" t="n"/>
      <c r="L44" s="1" t="n"/>
    </row>
    <row r="45" ht="28.73570454545454" customHeight="1">
      <c r="A45" s="1" t="n"/>
      <c r="B45" s="75" t="n"/>
      <c r="C45" s="75" t="n"/>
      <c r="D45" s="76" t="n"/>
      <c r="E45" s="76" t="n"/>
      <c r="F45" s="77" t="n"/>
      <c r="G45" s="77" t="n"/>
      <c r="H45" s="78" t="n"/>
      <c r="I45" s="78" t="n"/>
      <c r="J45" s="75" t="n"/>
      <c r="K45" s="75" t="n"/>
      <c r="L45" s="1" t="n"/>
    </row>
    <row r="46" ht="28.73570454545454" customHeight="1">
      <c r="A46" s="1" t="n"/>
      <c r="B46" s="75" t="n"/>
      <c r="C46" s="75" t="n"/>
      <c r="D46" s="76" t="n"/>
      <c r="E46" s="76" t="n"/>
      <c r="F46" s="77" t="n"/>
      <c r="G46" s="77" t="n"/>
      <c r="H46" s="78" t="n"/>
      <c r="I46" s="78" t="n"/>
      <c r="J46" s="75" t="n"/>
      <c r="K46" s="75" t="n"/>
      <c r="L46" s="1" t="n"/>
    </row>
    <row r="47" ht="28.73570454545454" customHeight="1">
      <c r="A47" s="1" t="n"/>
      <c r="B47" s="75" t="n"/>
      <c r="C47" s="75" t="n"/>
      <c r="D47" s="76" t="n"/>
      <c r="E47" s="76" t="n"/>
      <c r="F47" s="77" t="n"/>
      <c r="G47" s="77" t="n"/>
      <c r="H47" s="78" t="n"/>
      <c r="I47" s="78" t="n"/>
      <c r="J47" s="75" t="n"/>
      <c r="K47" s="75" t="n"/>
      <c r="L47" s="1" t="n"/>
    </row>
    <row r="48" ht="28.73570454545454" customHeight="1">
      <c r="A48" s="1" t="n"/>
      <c r="B48" s="75" t="n"/>
      <c r="C48" s="75" t="n"/>
      <c r="D48" s="76" t="n"/>
      <c r="E48" s="76" t="n"/>
      <c r="F48" s="77" t="n"/>
      <c r="G48" s="77" t="n"/>
      <c r="H48" s="78" t="n"/>
      <c r="I48" s="78" t="n"/>
      <c r="J48" s="75" t="n"/>
      <c r="K48" s="75" t="n"/>
      <c r="L48" s="1" t="n"/>
    </row>
    <row r="49" ht="28.73570454545454" customHeight="1">
      <c r="A49" s="1" t="n"/>
      <c r="B49" s="75" t="n"/>
      <c r="C49" s="75" t="n"/>
      <c r="D49" s="76" t="n"/>
      <c r="E49" s="76" t="n"/>
      <c r="F49" s="77" t="n"/>
      <c r="G49" s="77" t="n"/>
      <c r="H49" s="78" t="n"/>
      <c r="I49" s="78" t="n"/>
      <c r="J49" s="75" t="n"/>
      <c r="K49" s="75" t="n"/>
      <c r="L49" s="1" t="n"/>
    </row>
    <row r="50" ht="28.73570454545454" customHeight="1">
      <c r="A50" s="1" t="n"/>
      <c r="B50" s="75" t="n"/>
      <c r="C50" s="75" t="n"/>
      <c r="D50" s="76" t="n"/>
      <c r="E50" s="76" t="n"/>
      <c r="F50" s="77" t="n"/>
      <c r="G50" s="77" t="n"/>
      <c r="H50" s="78" t="n"/>
      <c r="I50" s="78" t="n"/>
      <c r="J50" s="75" t="n"/>
      <c r="K50" s="75" t="n"/>
      <c r="L50" s="1" t="n"/>
    </row>
    <row r="51" ht="28.73570454545454" customHeight="1">
      <c r="A51" s="1" t="n"/>
      <c r="B51" s="75" t="n"/>
      <c r="C51" s="75" t="n"/>
      <c r="D51" s="76" t="n"/>
      <c r="E51" s="76" t="n"/>
      <c r="F51" s="77" t="n"/>
      <c r="G51" s="77" t="n"/>
      <c r="H51" s="78" t="n"/>
      <c r="I51" s="78" t="n"/>
      <c r="J51" s="75" t="n"/>
      <c r="K51" s="75" t="n"/>
      <c r="L51" s="1" t="n"/>
    </row>
    <row r="52" ht="21" customHeight="1">
      <c r="A52" s="1" t="n"/>
      <c r="B52" s="79" t="inlineStr">
        <is>
          <t>9 · ESTRUCTURA DE COSTOS</t>
        </is>
      </c>
      <c r="C52" s="79" t="n"/>
      <c r="D52" s="79" t="n"/>
      <c r="E52" s="79" t="n"/>
      <c r="F52" s="79" t="n"/>
      <c r="G52" s="80" t="inlineStr">
        <is>
          <t>5 · FUENTES DE INGRESOS</t>
        </is>
      </c>
      <c r="H52" s="80" t="n"/>
      <c r="I52" s="80" t="n"/>
      <c r="J52" s="80" t="n"/>
      <c r="K52" s="80" t="n"/>
      <c r="L52" s="1" t="n"/>
    </row>
    <row r="53" ht="14.5" customHeight="1">
      <c r="A53" s="1" t="n"/>
      <c r="B53" s="81" t="inlineStr">
        <is>
          <t>LO QUE SE PAGA UNA SOLA VEZ (inversión)
· Los aparatos: es el gasto más grande. Cada uno cuesta $258,044 fabricándolos de a diez mil, que es la escala del despliegue; de a cien costaría $1,106,576.
· La planta de compostaje.
· El programa de computador: $346 millones.
· Las antenas, el camión, el permiso RETIE ($43 millones) y los moldes.
LO QUE SE PAGA TODOS LOS MESES
· Sueldos: es el 39 % del gasto. Recoger casa por casa es un trabajo de gente, no de máquinas.
· Los repuestos de la familia (filtro, bolsas, aserrín): 19 % del gasto. Pesan más de lo que suele suponerse, más que el internet de los aparatos, que es apenas el 0.4 %.
· Arriendo de la planta, combustible, mantenimiento y administración.
LA VERDAD INCÓMODA
Tratar una tonelada cuesta más que enterrarla. Por eso el modelo tal como se pensó al principio no se paga solo. En la hoja de Costeo mostramos tres formas concretas de cerrar esa brecha, y una de ellas llega al punto de equilibrio.</t>
        </is>
      </c>
      <c r="C53" s="81" t="n"/>
      <c r="D53" s="81" t="n"/>
      <c r="E53" s="81" t="n"/>
      <c r="F53" s="81" t="n"/>
      <c r="G53" s="82" t="inlineStr">
        <is>
          <t>1. LA ALCALDÍA NOS PAGA POR RECOGER Y TRATAR — $150,000 por tonelada.
Es nuestro ingreso más seguro. Hoy esa misma tonelada le cuesta $191,190 entre el camión, el relleno y el tratamiento del líquido, así que ella se ahorra $41,190 en cada una.
2. COLEGIOS, PLAZAS Y RESTAURANTES NOS PAGARÍAN POR RECOGER — $100,000 por tonelada. Es una extensión posible, no costeada en este proyecto.
Este es el ingreso que vuelve rentable el negocio: no hay que regalarles aparatos, el residuo está concentrado y una sola parada rinde cientos de kilos.
3. VENDEMOS EL ABONO — entre $250,000 y $700,000 la tonelada según la presentación.
A granel para el campesino, humus de lombriz para cultivos finos, y empacado para jardinería urbana, que es el que mejor se paga.
4. BONOS DE CARBONO — unos $29,070 por tonelada de CO₂ evitada.
Solo sirve si procesamos más de 20 toneladas al día. Por debajo de eso, certificarlo cuesta más de lo que produce.
5. EL DISTRITO TAMBIÉN PUEDE APORTAR EL LOTE DE LA PLANTA.
No es dinero en efectivo, pero el arriendo del predio es uno de los gastos más pesados de la operación, y Usme tiene 18,500 hectáreas rurales. Convertirlo en un aporte en especie libera varios cientos de millones al año.</t>
        </is>
      </c>
      <c r="H53" s="82" t="n"/>
      <c r="I53" s="82" t="n"/>
      <c r="J53" s="82" t="n"/>
      <c r="K53" s="82" t="n"/>
      <c r="L53" s="1" t="n"/>
    </row>
    <row r="54" ht="14.5" customHeight="1">
      <c r="A54" s="1" t="n"/>
      <c r="B54" s="81" t="n"/>
      <c r="C54" s="81" t="n"/>
      <c r="D54" s="81" t="n"/>
      <c r="E54" s="81" t="n"/>
      <c r="F54" s="81" t="n"/>
      <c r="G54" s="82" t="n"/>
      <c r="H54" s="82" t="n"/>
      <c r="I54" s="82" t="n"/>
      <c r="J54" s="82" t="n"/>
      <c r="K54" s="82" t="n"/>
      <c r="L54" s="1" t="n"/>
    </row>
    <row r="55" ht="14.5" customHeight="1">
      <c r="A55" s="1" t="n"/>
      <c r="B55" s="81" t="n"/>
      <c r="C55" s="81" t="n"/>
      <c r="D55" s="81" t="n"/>
      <c r="E55" s="81" t="n"/>
      <c r="F55" s="81" t="n"/>
      <c r="G55" s="82" t="n"/>
      <c r="H55" s="82" t="n"/>
      <c r="I55" s="82" t="n"/>
      <c r="J55" s="82" t="n"/>
      <c r="K55" s="82" t="n"/>
      <c r="L55" s="1" t="n"/>
    </row>
    <row r="56" ht="14.5" customHeight="1">
      <c r="A56" s="1" t="n"/>
      <c r="B56" s="81" t="n"/>
      <c r="C56" s="81" t="n"/>
      <c r="D56" s="81" t="n"/>
      <c r="E56" s="81" t="n"/>
      <c r="F56" s="81" t="n"/>
      <c r="G56" s="82" t="n"/>
      <c r="H56" s="82" t="n"/>
      <c r="I56" s="82" t="n"/>
      <c r="J56" s="82" t="n"/>
      <c r="K56" s="82" t="n"/>
      <c r="L56" s="1" t="n"/>
    </row>
    <row r="57" ht="14.5" customHeight="1">
      <c r="A57" s="1" t="n"/>
      <c r="B57" s="81" t="n"/>
      <c r="C57" s="81" t="n"/>
      <c r="D57" s="81" t="n"/>
      <c r="E57" s="81" t="n"/>
      <c r="F57" s="81" t="n"/>
      <c r="G57" s="82" t="n"/>
      <c r="H57" s="82" t="n"/>
      <c r="I57" s="82" t="n"/>
      <c r="J57" s="82" t="n"/>
      <c r="K57" s="82" t="n"/>
      <c r="L57" s="1" t="n"/>
    </row>
    <row r="58" ht="14.5" customHeight="1">
      <c r="A58" s="1" t="n"/>
      <c r="B58" s="81" t="n"/>
      <c r="C58" s="81" t="n"/>
      <c r="D58" s="81" t="n"/>
      <c r="E58" s="81" t="n"/>
      <c r="F58" s="81" t="n"/>
      <c r="G58" s="82" t="n"/>
      <c r="H58" s="82" t="n"/>
      <c r="I58" s="82" t="n"/>
      <c r="J58" s="82" t="n"/>
      <c r="K58" s="82" t="n"/>
      <c r="L58" s="1" t="n"/>
    </row>
    <row r="59" ht="14.5" customHeight="1">
      <c r="A59" s="1" t="n"/>
      <c r="B59" s="81" t="n"/>
      <c r="C59" s="81" t="n"/>
      <c r="D59" s="81" t="n"/>
      <c r="E59" s="81" t="n"/>
      <c r="F59" s="81" t="n"/>
      <c r="G59" s="82" t="n"/>
      <c r="H59" s="82" t="n"/>
      <c r="I59" s="82" t="n"/>
      <c r="J59" s="82" t="n"/>
      <c r="K59" s="82" t="n"/>
      <c r="L59" s="1" t="n"/>
    </row>
    <row r="60" ht="14.5" customHeight="1">
      <c r="A60" s="1" t="n"/>
      <c r="B60" s="81" t="n"/>
      <c r="C60" s="81" t="n"/>
      <c r="D60" s="81" t="n"/>
      <c r="E60" s="81" t="n"/>
      <c r="F60" s="81" t="n"/>
      <c r="G60" s="82" t="n"/>
      <c r="H60" s="82" t="n"/>
      <c r="I60" s="82" t="n"/>
      <c r="J60" s="82" t="n"/>
      <c r="K60" s="82" t="n"/>
      <c r="L60" s="1" t="n"/>
    </row>
    <row r="61" ht="14.5" customHeight="1">
      <c r="A61" s="1" t="n"/>
      <c r="B61" s="81" t="n"/>
      <c r="C61" s="81" t="n"/>
      <c r="D61" s="81" t="n"/>
      <c r="E61" s="81" t="n"/>
      <c r="F61" s="81" t="n"/>
      <c r="G61" s="82" t="n"/>
      <c r="H61" s="82" t="n"/>
      <c r="I61" s="82" t="n"/>
      <c r="J61" s="82" t="n"/>
      <c r="K61" s="82" t="n"/>
      <c r="L61" s="1" t="n"/>
    </row>
    <row r="62" ht="14.5" customHeight="1">
      <c r="A62" s="1" t="n"/>
      <c r="B62" s="81" t="n"/>
      <c r="C62" s="81" t="n"/>
      <c r="D62" s="81" t="n"/>
      <c r="E62" s="81" t="n"/>
      <c r="F62" s="81" t="n"/>
      <c r="G62" s="82" t="n"/>
      <c r="H62" s="82" t="n"/>
      <c r="I62" s="82" t="n"/>
      <c r="J62" s="82" t="n"/>
      <c r="K62" s="82" t="n"/>
      <c r="L62" s="1" t="n"/>
    </row>
    <row r="63" ht="14.5" customHeight="1">
      <c r="A63" s="1" t="n"/>
      <c r="B63" s="81" t="n"/>
      <c r="C63" s="81" t="n"/>
      <c r="D63" s="81" t="n"/>
      <c r="E63" s="81" t="n"/>
      <c r="F63" s="81" t="n"/>
      <c r="G63" s="82" t="n"/>
      <c r="H63" s="82" t="n"/>
      <c r="I63" s="82" t="n"/>
      <c r="J63" s="82" t="n"/>
      <c r="K63" s="82" t="n"/>
      <c r="L63" s="1" t="n"/>
    </row>
    <row r="64" ht="14.5" customHeight="1">
      <c r="A64" s="1" t="n"/>
      <c r="B64" s="81" t="n"/>
      <c r="C64" s="81" t="n"/>
      <c r="D64" s="81" t="n"/>
      <c r="E64" s="81" t="n"/>
      <c r="F64" s="81" t="n"/>
      <c r="G64" s="82" t="n"/>
      <c r="H64" s="82" t="n"/>
      <c r="I64" s="82" t="n"/>
      <c r="J64" s="82" t="n"/>
      <c r="K64" s="82" t="n"/>
      <c r="L64" s="1" t="n"/>
    </row>
    <row r="65" ht="14.5" customHeight="1">
      <c r="A65" s="1" t="n"/>
      <c r="B65" s="81" t="n"/>
      <c r="C65" s="81" t="n"/>
      <c r="D65" s="81" t="n"/>
      <c r="E65" s="81" t="n"/>
      <c r="F65" s="81" t="n"/>
      <c r="G65" s="82" t="n"/>
      <c r="H65" s="82" t="n"/>
      <c r="I65" s="82" t="n"/>
      <c r="J65" s="82" t="n"/>
      <c r="K65" s="82" t="n"/>
      <c r="L65" s="1" t="n"/>
    </row>
    <row r="66" ht="14.5" customHeight="1">
      <c r="A66" s="1" t="n"/>
      <c r="B66" s="81" t="n"/>
      <c r="C66" s="81" t="n"/>
      <c r="D66" s="81" t="n"/>
      <c r="E66" s="81" t="n"/>
      <c r="F66" s="81" t="n"/>
      <c r="G66" s="82" t="n"/>
      <c r="H66" s="82" t="n"/>
      <c r="I66" s="82" t="n"/>
      <c r="J66" s="82" t="n"/>
      <c r="K66" s="82" t="n"/>
      <c r="L66" s="1" t="n"/>
    </row>
    <row r="67" ht="14.5" customHeight="1">
      <c r="A67" s="1" t="n"/>
      <c r="B67" s="81" t="n"/>
      <c r="C67" s="81" t="n"/>
      <c r="D67" s="81" t="n"/>
      <c r="E67" s="81" t="n"/>
      <c r="F67" s="81" t="n"/>
      <c r="G67" s="82" t="n"/>
      <c r="H67" s="82" t="n"/>
      <c r="I67" s="82" t="n"/>
      <c r="J67" s="82" t="n"/>
      <c r="K67" s="82" t="n"/>
      <c r="L67" s="1" t="n"/>
    </row>
    <row r="68" ht="14.5" customHeight="1">
      <c r="A68" s="1" t="n"/>
      <c r="B68" s="81" t="n"/>
      <c r="C68" s="81" t="n"/>
      <c r="D68" s="81" t="n"/>
      <c r="E68" s="81" t="n"/>
      <c r="F68" s="81" t="n"/>
      <c r="G68" s="82" t="n"/>
      <c r="H68" s="82" t="n"/>
      <c r="I68" s="82" t="n"/>
      <c r="J68" s="82" t="n"/>
      <c r="K68" s="82" t="n"/>
      <c r="L68" s="1" t="n"/>
    </row>
    <row r="69" ht="14.5" customHeight="1">
      <c r="A69" s="1" t="n"/>
      <c r="B69" s="81" t="n"/>
      <c r="C69" s="81" t="n"/>
      <c r="D69" s="81" t="n"/>
      <c r="E69" s="81" t="n"/>
      <c r="F69" s="81" t="n"/>
      <c r="G69" s="82" t="n"/>
      <c r="H69" s="82" t="n"/>
      <c r="I69" s="82" t="n"/>
      <c r="J69" s="82" t="n"/>
      <c r="K69" s="82" t="n"/>
      <c r="L69" s="1" t="n"/>
    </row>
    <row r="70" ht="16" customHeight="1">
      <c r="A70" s="1" t="n"/>
      <c r="B70" s="1" t="n"/>
      <c r="C70" s="1" t="n"/>
      <c r="D70" s="1" t="n"/>
      <c r="E70" s="1" t="n"/>
      <c r="F70" s="1" t="n"/>
      <c r="G70" s="1" t="n"/>
      <c r="H70" s="1" t="n"/>
      <c r="I70" s="1" t="n"/>
      <c r="J70" s="1" t="n"/>
      <c r="K70" s="1" t="n"/>
      <c r="L70" s="1" t="n"/>
    </row>
    <row r="71" ht="26" customHeight="1">
      <c r="A71" s="1" t="n"/>
      <c r="B71" s="69" t="inlineStr">
        <is>
          <t>Desarrollo detallado de cada bloque, en el mismo orden</t>
        </is>
      </c>
      <c r="C71" s="69" t="n"/>
      <c r="D71" s="69" t="n"/>
      <c r="E71" s="69" t="n"/>
      <c r="F71" s="69" t="n"/>
      <c r="G71" s="69" t="n"/>
      <c r="H71" s="69" t="n"/>
      <c r="I71" s="69" t="n"/>
      <c r="J71" s="69" t="n"/>
      <c r="K71" s="69" t="n"/>
      <c r="L71" s="1" t="n"/>
    </row>
    <row r="72" ht="27.19899999999999" customHeight="1">
      <c r="A72" s="1" t="n"/>
      <c r="B72" s="4" t="inlineStr">
        <is>
          <t>El lienzo resume en pocas líneas. Esta sección explica cada bloque con el detalle, las cifras y las decisiones que hay detrás. Se mantiene la misma numeración.</t>
        </is>
      </c>
      <c r="C72" s="4" t="n"/>
      <c r="D72" s="4" t="n"/>
      <c r="E72" s="4" t="n"/>
      <c r="F72" s="4" t="n"/>
      <c r="G72" s="4" t="n"/>
      <c r="H72" s="4" t="n"/>
      <c r="I72" s="4" t="n"/>
      <c r="J72" s="4" t="n"/>
      <c r="K72" s="4" t="n"/>
      <c r="L72" s="1" t="n"/>
    </row>
    <row r="73" ht="8" customHeight="1">
      <c r="A73" s="1" t="n"/>
      <c r="B73" s="1" t="n"/>
      <c r="C73" s="1" t="n"/>
      <c r="D73" s="1" t="n"/>
      <c r="E73" s="1" t="n"/>
      <c r="F73" s="1" t="n"/>
      <c r="G73" s="1" t="n"/>
      <c r="H73" s="1" t="n"/>
      <c r="I73" s="1" t="n"/>
      <c r="J73" s="1" t="n"/>
      <c r="K73" s="1" t="n"/>
      <c r="L73" s="1" t="n"/>
    </row>
    <row r="74" ht="26" customHeight="1">
      <c r="A74" s="1" t="n"/>
      <c r="B74" s="83" t="inlineStr">
        <is>
          <t>1 · PROPUESTA DE VALOR</t>
        </is>
      </c>
      <c r="C74" s="83" t="n"/>
      <c r="D74" s="83" t="n"/>
      <c r="E74" s="83" t="n"/>
      <c r="F74" s="83" t="n"/>
      <c r="G74" s="83" t="n"/>
      <c r="H74" s="83" t="n"/>
      <c r="I74" s="83" t="n"/>
      <c r="J74" s="83" t="n"/>
      <c r="K74" s="83" t="n"/>
      <c r="L74" s="1" t="n"/>
    </row>
    <row r="75" ht="409" customHeight="1">
      <c r="A75" s="1" t="n"/>
      <c r="B75" s="51" t="inlineStr">
        <is>
          <t>La frase que lo resume todo: le pagamos a las familias de Usme por separar la comida que botan, y con esa comida fabricamos el abono que hoy Colombia compra en el exterior.
POR QUÉ ESTA PROPUESTA Y NO OTRA
La mayoría de los programas de reciclaje le piden a la gente un favor: separe, por el planeta. Recoevo no pide un favor, hace un negocio. La familia entrega algo que no le sirve y recibe tres cosas concretas: una cocina sin olor, un aparato gratis y un reconocimiento en dinero cada mes. El argumento ambiental viene después, y es el que convence a la Alcaldía, no a la familia.
LO QUE RECIBE LA FAMILIA, EN DETALLE
El aparato muele los restos de comida al cerrar la tapa y les baja el volumen a la mitad. Un sello de caucho y un filtro de carbón le quitan el olor, que es la queja número uno de cualquier caneca de orgánicos. Un sensor pesa lo que hay adentro y avisa solo cuando está lleno, así que el camión llega cuando tiene que llegar y no antes. La familia no paga la instalación, no usa su internet porque el aparato tiene su propia antena, y el consumo de luz es de $173 al mes en estrato 1 y $216 en estrato 2, menos que un pasaje de TransMilenio cada cuatro meses. A cambio de separar bien, acumula puntos que valen hasta $1,500 al mes abonados a su factura de acueducto, es decir $18,000 al año. Sumado a las bolsas, el carbón y el material seco que recibe sin pagar, el paquete vale $35,300 al año, un 22 % de lo que esa familia paga por todo el servicio de aseo. Y además se queda con un aparato de $258,044.
LO QUE RECIBE BOGOTÁ
Bogotá se obligó a sí misma, por decreto, a tratar al menos el 20 % de los residuos orgánicos que hoy entierra. Hoy trata el 0.03 %. No es un problema de voluntad: no existe la infraestructura ni la ruta. Recoevo le entrega toneladas contadas casa por casa, con soporte para auditoría, que cuentan directamente para esa meta y para la de emisiones de 2027. Y cada tonelada desviada le ahorra $41,190, porque hoy gasta $191,190 en recolección, disposición final y tratamiento de lixiviados, y el programa le cobra $150,000 por prestar esos mismos servicios y devolverle abono.
LO QUE RECIBE EL CAMPESINO
Aquí hay que ser honestos, porque una promesa exagerada se cae en la primera cosecha. El abono orgánico no reemplaza a la urea como fuente de nitrógeno: por kilo de nitrógeno cuesta casi cuatro veces más. Lo que sí hace, y la urea no, es devolverle materia orgánica al suelo. El 80.3 % de las tierras de Cundinamarca está erosionado, el doble del promedio nacional, y la causa es precisamente que se fertiliza sin reponer materia orgánica. Además el precio del abono es mucho más estable: mientras la urea triplicó su precio entre 2021 y 2022 y volvió a subir 36 % este año, el abono orgánico se movió la mitad. Al campesino le vendemos estabilidad y suelo, no sustitución.
POR QUÉ ES DIFÍCIL DE COPIAR
Hay que resolver tres problemas al mismo tiempo, y cada uno tumba un proyecto por separado: que el aparato no huela dentro de la casa, que avise sin usar el internet ni el bolsillo de la familia, y que el abono cumpla la norma técnica del ICA para poder venderse. Las compostadoras que se venden en el mundo resuelven el olor con calor, y eso dispara el recibo de la luz. Nosotros lo resolvemos con sellado y filtro, que cuesta $22,900 y no consume casi nada.</t>
        </is>
      </c>
      <c r="C75" s="51" t="n"/>
      <c r="D75" s="51" t="n"/>
      <c r="E75" s="51" t="n"/>
      <c r="F75" s="51" t="n"/>
      <c r="G75" s="51" t="n"/>
      <c r="H75" s="51" t="n"/>
      <c r="I75" s="51" t="n"/>
      <c r="J75" s="51" t="n"/>
      <c r="K75" s="51" t="n"/>
      <c r="L75" s="1" t="n"/>
    </row>
    <row r="76" ht="10" customHeight="1">
      <c r="A76" s="1" t="n"/>
      <c r="B76" s="1" t="n"/>
      <c r="C76" s="1" t="n"/>
      <c r="D76" s="1" t="n"/>
      <c r="E76" s="1" t="n"/>
      <c r="F76" s="1" t="n"/>
      <c r="G76" s="1" t="n"/>
      <c r="H76" s="1" t="n"/>
      <c r="I76" s="1" t="n"/>
      <c r="J76" s="1" t="n"/>
      <c r="K76" s="1" t="n"/>
      <c r="L76" s="1" t="n"/>
    </row>
    <row r="77" ht="26" customHeight="1">
      <c r="A77" s="1" t="n"/>
      <c r="B77" s="84" t="inlineStr">
        <is>
          <t>2 · SEGMENTOS DE CLIENTES</t>
        </is>
      </c>
      <c r="C77" s="84" t="n"/>
      <c r="D77" s="84" t="n"/>
      <c r="E77" s="84" t="n"/>
      <c r="F77" s="84" t="n"/>
      <c r="G77" s="84" t="n"/>
      <c r="H77" s="84" t="n"/>
      <c r="I77" s="84" t="n"/>
      <c r="J77" s="84" t="n"/>
      <c r="K77" s="84" t="n"/>
      <c r="L77" s="1" t="n"/>
    </row>
    <row r="78" ht="369.399" customHeight="1">
      <c r="A78" s="1" t="n"/>
      <c r="B78" s="85" t="inlineStr">
        <is>
          <t>La característica que define este negocio: quien recibe el servicio no es quien lo paga. Confundir los dos grupos es el error que más veces ha hecho fracasar este tipo de proyectos.
EL USUARIO 1: 12,000 HOGARES DE USME
Estratos 1 y 2, sin excepción, porque en Usme no hay manzanas de estrato 3 o superior. Es la localidad con más pobreza monetaria de Bogotá, 57.81 %, con 55.7 % de informalidad laboral. Se empieza por las UPZ Gran Yomasa y Comuneros, que juntas tienen 239,502 habitantes, el 57.7 % de la localidad, lo que permite una ruta compacta.
Dentro de esas UPZ se prioriza vivienda multifamiliar antes que casa suelta, y esto tiene una razón medida: en Corea del Sur el mismo sistema alcanzó 81.6 % de cobertura en apartamentos y solo 37.9 % en el conjunto de tipos de vivienda. Cuando el contenedor es compartido y el vecino ve, la gente separa mejor. No es una apreciación moral sino una decisión de diseño.
Estas familias no pagan y no deben pagar. Un hogar de estrato 1 paga $10,517 al mes de aseo, y la parte de ese recibo que Recoevo puede reducir son $2,405. No hay negocio ahí.
CLIENTE QUE PAGA 1 · EL DISTRITO CAPITAL
La UAESP y el Fondo de Desarrollo Local de Usme. Compran toneladas tratadas y cumplimiento de meta. Es el cliente ancla del proyecto: sin él no hay programa.
CLIENTE QUE PAGA 2 · GRANDES GENERADORES DE USME
Colegios distritales, plazas de mercado, comedores comunitarios, restaurantes y hoteles. Este segmento es el que vuelve viable el negocio, y por eso se planea desde el primer día y no como una ampliación posterior. Aquí el residuo está concentrado, una sola parada rinde cientos de kilos, no hay que regalar aparatos y el generador ya está pagando una tarifa de aseo alta: un gran productor con aforo paga $148,996 al mes. Existe precedente probado en la ciudad: la ruta de plazas de mercado de Bogotá ya mueve más de 71 toneladas mensuales.
CLIENTE QUE PAGA 3 · AGRICULTORES DE LA SABANA
La Sabana sembró 76,626 hectáreas en 2025, de las cuales 58,087 son de papa, el cultivo que más fertilizante consume. Los municipios objetivo son Villapinzón y Tausa, que juntos suman 32,165 hectáreas sembradas, más Chocontá, Subachoque y Zipaquirá. La floricultura, con 7,504 hectáreas en Cundinamarca, es un segundo mercado que paga más por producto de mejor calidad.
CLIENTE QUE PAGA 4 · EMPRESAS PADRINO
Financian los aparatos de familias que no pueden comprarlos. Reciben impacto medible y auditable, y el descuento del 25 % del artículo 257 del Estatuto Tributario si la donación se canaliza por una entidad sin ánimo de lucro.</t>
        </is>
      </c>
      <c r="C78" s="85" t="n"/>
      <c r="D78" s="85" t="n"/>
      <c r="E78" s="85" t="n"/>
      <c r="F78" s="85" t="n"/>
      <c r="G78" s="85" t="n"/>
      <c r="H78" s="85" t="n"/>
      <c r="I78" s="85" t="n"/>
      <c r="J78" s="85" t="n"/>
      <c r="K78" s="85" t="n"/>
      <c r="L78" s="1" t="n"/>
    </row>
    <row r="79" ht="10" customHeight="1">
      <c r="A79" s="1" t="n"/>
      <c r="B79" s="1" t="n"/>
      <c r="C79" s="1" t="n"/>
      <c r="D79" s="1" t="n"/>
      <c r="E79" s="1" t="n"/>
      <c r="F79" s="1" t="n"/>
      <c r="G79" s="1" t="n"/>
      <c r="H79" s="1" t="n"/>
      <c r="I79" s="1" t="n"/>
      <c r="J79" s="1" t="n"/>
      <c r="K79" s="1" t="n"/>
      <c r="L79" s="1" t="n"/>
    </row>
    <row r="80" ht="26" customHeight="1">
      <c r="A80" s="1" t="n"/>
      <c r="B80" s="55" t="inlineStr">
        <is>
          <t>3 · CANALES</t>
        </is>
      </c>
      <c r="C80" s="55" t="n"/>
      <c r="D80" s="55" t="n"/>
      <c r="E80" s="55" t="n"/>
      <c r="F80" s="55" t="n"/>
      <c r="G80" s="55" t="n"/>
      <c r="H80" s="55" t="n"/>
      <c r="I80" s="55" t="n"/>
      <c r="J80" s="55" t="n"/>
      <c r="K80" s="55" t="n"/>
      <c r="L80" s="1" t="n"/>
    </row>
    <row r="81" ht="288.1265" customHeight="1">
      <c r="A81" s="1" t="n"/>
      <c r="B81" s="56" t="inlineStr">
        <is>
          <t>Un canal es cómo llega el producto al cliente. Como hay varios clientes distintos, hay varios canales distintos, y conviene no mezclarlos.
CANAL PARA CONSEGUIR FAMILIAS
La puerta de entrada son las Juntas de Acción Comunal y los administradores de conjuntos residenciales. En barrios de origen informal, la JAC es la autoridad que la gente reconoce; sin su aval no se abre una puerta. La focalización se apoya en la Alcaldía Local, que ya tiene a la población identificada por Sisbén: en Usme hay 319,115 personas registradas. La conversión ocurre en jornadas de instalación en el barrio, con el aparato funcionando a la vista, porque nadie acepta meter en su cocina algo que no ha visto operar.
CANAL PARA SOSTENER LA RELACIÓN
La ruta de recolección es el canal más importante de todo el modelo y es fácil subestimarlo. El operario pasa cada semana, cambia el filtro, deja las bolsas, pesa y confirma los puntos. Es simultáneamente logística, servicio al cliente, control de calidad y presencia de marca. Ningún canal digital lo reemplaza en un territorio con brecha de conectividad.
El canal digital es WhatsApp, no una aplicación propia. Exigirle a una familia de estrato 1 que instale una app y gaste datos es agregar una barrera gratuita.
CANAL PARA VENDER EL ABONO
Tres vías, de mayor a menor volumen: venta directa a granel en finca y por asociaciones de productores, que es donde está el volumen; almacenes agropecuarios de la Sabana para el producto empacado; y contratos con el Distrito para arbolado urbano, parques y huertas. Esta tercera vía hoy no existe porque, como reconoce el propio PGIRS, no hay una política de compras públicas sostenibles que priorice estos productos. El PGIRS se propone crearla, y ahí hay una oportunidad de incidencia.
CANAL PARA LOS CLIENTES INSTITUCIONALES
Venta directa, cara a cara, con cifras. Un rector o un administrador de plaza decide rápido si se le muestra cuánto paga hoy y cuánto pagaría. Es el ciclo de venta más corto del modelo.</t>
        </is>
      </c>
      <c r="C81" s="56" t="n"/>
      <c r="D81" s="56" t="n"/>
      <c r="E81" s="56" t="n"/>
      <c r="F81" s="56" t="n"/>
      <c r="G81" s="56" t="n"/>
      <c r="H81" s="56" t="n"/>
      <c r="I81" s="56" t="n"/>
      <c r="J81" s="56" t="n"/>
      <c r="K81" s="56" t="n"/>
      <c r="L81" s="1" t="n"/>
    </row>
    <row r="82" ht="10" customHeight="1">
      <c r="A82" s="1" t="n"/>
      <c r="B82" s="1" t="n"/>
      <c r="C82" s="1" t="n"/>
      <c r="D82" s="1" t="n"/>
      <c r="E82" s="1" t="n"/>
      <c r="F82" s="1" t="n"/>
      <c r="G82" s="1" t="n"/>
      <c r="H82" s="1" t="n"/>
      <c r="I82" s="1" t="n"/>
      <c r="J82" s="1" t="n"/>
      <c r="K82" s="1" t="n"/>
      <c r="L82" s="1" t="n"/>
    </row>
    <row r="83" ht="26" customHeight="1">
      <c r="A83" s="1" t="n"/>
      <c r="B83" s="55" t="inlineStr">
        <is>
          <t>4 · RELACIÓN CON LOS CLIENTES</t>
        </is>
      </c>
      <c r="C83" s="55" t="n"/>
      <c r="D83" s="55" t="n"/>
      <c r="E83" s="55" t="n"/>
      <c r="F83" s="55" t="n"/>
      <c r="G83" s="55" t="n"/>
      <c r="H83" s="55" t="n"/>
      <c r="I83" s="55" t="n"/>
      <c r="J83" s="55" t="n"/>
      <c r="K83" s="55" t="n"/>
      <c r="L83" s="1" t="n"/>
    </row>
    <row r="84" ht="369.399" customHeight="1">
      <c r="A84" s="1" t="n"/>
      <c r="B84" s="56" t="inlineStr">
        <is>
          <t>El principio que gobierna todo este bloque: acompañar, no vigilar. Y una advertencia que sale de la evidencia internacional y que obligó a rediseñar el incentivo.
LA ADVERTENCIA
Corea del Sur pasó de reciclar el 2.6 % de sus residuos de comida en 1996 al 97.5 % en 2022. Lo logró cobrando por peso, no premiando. San Francisco superó el 80 % de desvío con una ordenanza que obliga a separar. Milán llegó a más de 90 kilos por habitante al año con recolección puerta a puerta frecuente. En los tres casos el motor fue la obligatoriedad, la comodidad y ver el resultado al instante, no el tamaño del premio. El incentivo en dinero de Recoevo vale $1,500 al mes: es un apoyo real, pero no es lo que va a cambiar una costumbre diaria. Hay que diseñarlo como refuerzo, no como motor.
MOMENTO 1 · LA INSTALACIÓN
Se instala el aparato, se muestra cómo funciona, se entrega el carné con código QR y chip, y se deja el primer kit de bolsas y estructurante. Nadie separa bien si nadie le explicó: esta visita define el comportamiento de los meses siguientes.
MOMENTO 2 · CADA SEMANA
El operario pasa, escanea el carné, valida el peso que registró la máquina, revisa que no haya plástico ni vidrio y confirma los puntos. Ese contacto semanal, cara a cara, es lo que sostiene el hábito.
MOMENTO 3 · CADA VEZ QUE SE USA
El aparato muestra el peso depositado y los puntos ganados en el momento de cerrar la tapa. Esto replica exactamente el mecanismo coreano: la máquina pesa y muestra el resultado en el acto.
MOMENTO 4 · CUANDO SALE MAL
El régimen es gradual y a propósito. Primera vez: advertencia y acompañamiento en sitio, porque la mayoría de los errores son por desconocimiento. Si reincide: baja progresiva de la tasa de puntos hasta que mejore, verificada en dos ciclos. Retiro del equipo: solo para equipos prestados del plan piloto, solo tras reincidencia sostenida, con notificación previa y posibilidad de reingreso. Si el equipo es propiedad de la familia no se retira nunca; solo se reduce la tasa de puntos.
MOMENTO 5 · CON EL BARRIO
Rendición de cuentas trimestral en asamblea: cuántas toneladas sacó el barrio, cuánto recibieron las familias, cómo va frente a la cuadra vecina. La norma social del vecindario es más efectiva que cualquier campaña publicitaria, y no tiene costo.</t>
        </is>
      </c>
      <c r="C84" s="56" t="n"/>
      <c r="D84" s="56" t="n"/>
      <c r="E84" s="56" t="n"/>
      <c r="F84" s="56" t="n"/>
      <c r="G84" s="56" t="n"/>
      <c r="H84" s="56" t="n"/>
      <c r="I84" s="56" t="n"/>
      <c r="J84" s="56" t="n"/>
      <c r="K84" s="56" t="n"/>
      <c r="L84" s="1" t="n"/>
    </row>
    <row r="85" ht="10" customHeight="1">
      <c r="A85" s="1" t="n"/>
      <c r="B85" s="1" t="n"/>
      <c r="C85" s="1" t="n"/>
      <c r="D85" s="1" t="n"/>
      <c r="E85" s="1" t="n"/>
      <c r="F85" s="1" t="n"/>
      <c r="G85" s="1" t="n"/>
      <c r="H85" s="1" t="n"/>
      <c r="I85" s="1" t="n"/>
      <c r="J85" s="1" t="n"/>
      <c r="K85" s="1" t="n"/>
      <c r="L85" s="1" t="n"/>
    </row>
    <row r="86" ht="26" customHeight="1">
      <c r="A86" s="1" t="n"/>
      <c r="B86" s="86" t="inlineStr">
        <is>
          <t>5 · FUENTES DE INGRESOS</t>
        </is>
      </c>
      <c r="C86" s="86" t="n"/>
      <c r="D86" s="86" t="n"/>
      <c r="E86" s="86" t="n"/>
      <c r="F86" s="86" t="n"/>
      <c r="G86" s="86" t="n"/>
      <c r="H86" s="86" t="n"/>
      <c r="I86" s="86" t="n"/>
      <c r="J86" s="86" t="n"/>
      <c r="K86" s="86" t="n"/>
      <c r="L86" s="1" t="n"/>
    </row>
    <row r="87" ht="401.908" customHeight="1">
      <c r="A87" s="1" t="n"/>
      <c r="B87" s="87" t="inlineStr">
        <is>
          <t>Cinco fuentes, de la más segura a la más incierta. Se presentan en ese orden a propósito, porque construir un plan sobre la más incierta sería un error de método. Conviene advertir desde ya que el proyecto costeado en este trabajo incluye únicamente las fuentes 1 y 3, que son las que dependen solo de los hogares. Las demás se describen porque hacen parte del modelo de negocio, pero no están en las cuentas.
FUENTE 1 · CONTRATO DE RECOLECCIÓN Y TRATAMIENTO CON EL DISTRITO — $150,000 POR TONELADA
El Distrito paga por cada tonelada domiciliaria recogida, tratada y verificada. El precio se fija deliberadamente por debajo de los $191,190 que hoy le cuesta esa misma tonelada entre recolección y transporte, $124,696; disposición en el relleno, $45,541; y tratamiento de lixiviados, $20,953. El ahorro para la ciudad es de $41,190 por tonelada, un 21.5 %: es un argumento de venta, no una concesión. Es la fuente ancla del proyecto y está incluida en el costeo.
FUENTE 2 · TARIFA DE RECEPCIÓN DE GRANDES GENERADORES — $100,000 POR TONELADA (NO COSTEADA)
Colegios, plazas, comedores y restaurantes pagarían por que les recojan sus residuos de comida. No exige regalar aparatos, el residuo llega concentrado y limpio, una sola parada rinde cientos de kilos y el generador ya paga una tarifa de aseo alta, de modo que sería el ingreso de mayor margen. Se deja explícitamente FUERA del proyecto y de sus cuentas, porque atender grandes generadores es una operación de otra naturaleza que habría que formular y costear aparte. Se menciona aquí porque es la palanca que más cambiaría el resultado si algún día se decide.
FUENTE 3 · VENTA DEL ABONO — ENTRE $250,000 Y $700,000 POR TONELADA
No es un solo producto sino tres, y esa es la diferencia entre perder y ganar dinero. Compost a granel para papa y pasto a $250,000 la tonelada, que es el piso del mercado. Humus de lombriz para cultivos finos y floricultura, que se paga cerca de $395,000. Y producto empacado para jardinería urbana, que se paga entre $650,000 y $800,000 aunque absorbe poco volumen. Vender solo lo primero es renunciar a ingresos sobre la mesa.
FUENTE 4 · CRÉDITOS DE CARBONO — $29,070 POR TONELADA DE CO₂ EVITADA
La metodología aplicable es la CDM AMS-III.F, de evitación de metano por compostaje, con un factor de entre 0.3 y 1.5 toneladas de CO₂ por tonelada desviada. Dos advertencias: certificar cuesta entre 15,000 y 50,000 dólares, así que por debajo de 20 toneladas diarias el costo supera al ingreso; y como Doña Juana ya captura biogás, parte de ese metano ya se estaba capturando, lo que recorta el crédito.
FUENTE 5 · APORTES DE INVERSIÓN: EL INCENTIVO AL TRATAMIENTO Y EL LOTE DISTRITAL
No es un ingreso de operación sino una reducción de la inversión y del gasto fijo, y por eso va al final. El Decreto 2412 de 2018 creó el Incentivo al Aprovechamiento y Tratamiento, un fondo que se nutre de la tarifa de disposición final y que financia infraestructura de tratamiento; en Bogotá asciende a unos $34,600 millones anuales. A eso se suma la posibilidad de que el Distrito aporte el lote de la planta en una localidad que tiene 18,500 hectáreas rurales, lo que libera varios cientos de millones al año de arriendo. Ninguna de las dos cosas es un ingreso por tonelada, pero ambas cambian el punto de equilibrio y por eso se declaran aquí en vez de esconderlas en la inversión.</t>
        </is>
      </c>
      <c r="C87" s="87" t="n"/>
      <c r="D87" s="87" t="n"/>
      <c r="E87" s="87" t="n"/>
      <c r="F87" s="87" t="n"/>
      <c r="G87" s="87" t="n"/>
      <c r="H87" s="87" t="n"/>
      <c r="I87" s="87" t="n"/>
      <c r="J87" s="87" t="n"/>
      <c r="K87" s="87" t="n"/>
      <c r="L87" s="1" t="n"/>
    </row>
    <row r="88" ht="10" customHeight="1">
      <c r="A88" s="1" t="n"/>
      <c r="B88" s="1" t="n"/>
      <c r="C88" s="1" t="n"/>
      <c r="D88" s="1" t="n"/>
      <c r="E88" s="1" t="n"/>
      <c r="F88" s="1" t="n"/>
      <c r="G88" s="1" t="n"/>
      <c r="H88" s="1" t="n"/>
      <c r="I88" s="1" t="n"/>
      <c r="J88" s="1" t="n"/>
      <c r="K88" s="1" t="n"/>
      <c r="L88" s="1" t="n"/>
    </row>
    <row r="89" ht="26" customHeight="1">
      <c r="A89" s="1" t="n"/>
      <c r="B89" s="14" t="inlineStr">
        <is>
          <t>6 · RECURSOS CLAVE</t>
        </is>
      </c>
      <c r="C89" s="14" t="n"/>
      <c r="D89" s="14" t="n"/>
      <c r="E89" s="14" t="n"/>
      <c r="F89" s="14" t="n"/>
      <c r="G89" s="14" t="n"/>
      <c r="H89" s="14" t="n"/>
      <c r="I89" s="14" t="n"/>
      <c r="J89" s="14" t="n"/>
      <c r="K89" s="14" t="n"/>
      <c r="L89" s="1" t="n"/>
    </row>
    <row r="90" ht="401.908" customHeight="1">
      <c r="A90" s="1" t="n"/>
      <c r="B90" s="65" t="inlineStr">
        <is>
          <t>Los activos sin los cuales el modelo no opera, ordenados por lo difícil que es para un competidor conseguirlos.
EL PARQUE DE APARATOS INSTALADOS
Es el activo principal y la barrera de entrada más sólida. Una vez la familia tiene el equipo en la cocina, ha aprendido a usarlo y acumula puntos, el costo de cambiarse es alto. Es también el activo más caro: $258,044 por unidad en pedidos de diez mil, que es la escala prevista, frente a $1,106,576 en pedidos de cien.
LA RED PROPIA DE ANTENAS
Estaciones base instaladas en colegios distritales, estaciones del TransMiCable, salones comunales y tanques del acueducto: sitios altos, con energía, con vigilancia y sin costo de arriendo por tratarse de un programa distrital. Cuesta entre 0.41 y 2.22 dólares por aparato al año, frente a unos 18 de la alternativa comercial: 43 veces menos. Y el programa es dueño de su red durante los diez años de vida del proyecto, en vez de depender del precio que le ponga un operador de celular.
LOS DATOS
Este recurso es el menos evidente y probablemente el más valioso a largo plazo. Hoy ni la UAESP ni la Superintendencia publican toneladas por localidad, porque la operación se reporta por Área de Servicio Exclusivo. Recoevo generaría el primer conjunto de información real de generación de residuos orgánicos por hogar, por manzana y por día de Usme. Eso tiene valor propio para la planeación de la ciudad y refuerza la posición negociadora frente al cliente ancla.
LA PLANTA CON SUS PERMISOS
No basta con tener una planta: hace falta el permiso ambiental de la Secretaría Distrital de Ambiente o de la CAR según dónde quede, y el registro de venta ante el ICA, que exige cumplir la norma NTC 5167 en materia orgánica, humedad, pH, relación carbono-nitrógeno, metales pesados y ausencia de patógenos. Sin registro no se puede vender abono legalmente.
LA ALIANZA CON LOS RECICLADORES
Es un recurso, no solo un socio, porque es la llave jurídica que habilita el ingreso por tarifa.
EL EQUIPO HUMANO
Hacen falta tres perfiles que rara vez conviven en una misma organización: ingeniería de producto para el aparato, operación logística para la ruta y la planta, y trabajo social de campo para el acompañamiento. Descuidar el tercero es el error clásico de los proyectos de base tecnológica.</t>
        </is>
      </c>
      <c r="C90" s="65" t="n"/>
      <c r="D90" s="65" t="n"/>
      <c r="E90" s="65" t="n"/>
      <c r="F90" s="65" t="n"/>
      <c r="G90" s="65" t="n"/>
      <c r="H90" s="65" t="n"/>
      <c r="I90" s="65" t="n"/>
      <c r="J90" s="65" t="n"/>
      <c r="K90" s="65" t="n"/>
      <c r="L90" s="1" t="n"/>
    </row>
    <row r="91" ht="10" customHeight="1">
      <c r="A91" s="1" t="n"/>
      <c r="B91" s="1" t="n"/>
      <c r="C91" s="1" t="n"/>
      <c r="D91" s="1" t="n"/>
      <c r="E91" s="1" t="n"/>
      <c r="F91" s="1" t="n"/>
      <c r="G91" s="1" t="n"/>
      <c r="H91" s="1" t="n"/>
      <c r="I91" s="1" t="n"/>
      <c r="J91" s="1" t="n"/>
      <c r="K91" s="1" t="n"/>
      <c r="L91" s="1" t="n"/>
    </row>
    <row r="92" ht="26" customHeight="1">
      <c r="A92" s="1" t="n"/>
      <c r="B92" s="14" t="inlineStr">
        <is>
          <t>7 · ACTIVIDADES CLAVE</t>
        </is>
      </c>
      <c r="C92" s="14" t="n"/>
      <c r="D92" s="14" t="n"/>
      <c r="E92" s="14" t="n"/>
      <c r="F92" s="14" t="n"/>
      <c r="G92" s="14" t="n"/>
      <c r="H92" s="14" t="n"/>
      <c r="I92" s="14" t="n"/>
      <c r="J92" s="14" t="n"/>
      <c r="K92" s="14" t="n"/>
      <c r="L92" s="1" t="n"/>
    </row>
    <row r="93" ht="369.399" customHeight="1">
      <c r="A93" s="1" t="n"/>
      <c r="B93" s="65" t="inlineStr">
        <is>
          <t>Lo que la organización hace todos los días. Son cuatro procesos distintos más uno que no suele aparecer en un Canvas y que aquí es decisivo.
FABRICAR Y ARMAR
Las piezas plásticas grandes se fabrican en Bogotá por rotomoldeo, porque son voluminosas y de poco valor: traerlas de China costaría más en flete de lo que se ahorra en precio. El motor, la electrónica y los sensores se importan. El armado final se hace en Colombia, lo que reduce el arancel, permite reparar el producto localmente y genera empleo, que es un argumento político decisivo para un programa con recursos públicos.
INSTALAR Y ENSEÑAR
Llevar el equipo a la casa, conectarlo, enseñar qué se puede echar y qué no, y entregar el carné. Es la actividad de la que depende la calidad del material que llegará a la planta seis meses después.
OPERAR LA TELEMETRÍA Y ARMAR LA RUTA
La plataforma recibe cuatro mensajes diarios por aparato, arma el mapa de llenado de la localidad y cada mañana calcula la ruta del día pasando únicamente por los contenedores que superaron el umbral. Sobre el ahorro que esto genera conviene ser prudente: los proveedores del sector publicitan reducciones del 86 %, pero comparan contra contenedores públicos muy mal gestionados. La evidencia académica revisada por pares reporta cerca del 16 %. Para recolección puerta a puerta el rango defendible es del 15 % al 30 %, y este trabajo usa 20 %.
RECOGER, PESAR Y VALIDAR
El operario escanea el carné del hogar, valida el peso contra el que registró la máquina, inspecciona visualmente el material y reporta incidencias con fotografía. La aplicación funciona sin conexión porque la cobertura celular en Usme es irregular.
TRANSFORMAR Y VENDER
Compostaje, volteo, maduración, análisis de laboratorio por lote, empaque y venta. El control de calidad en planta cierra el círculo: el porcentaje de rechazo de cada lote ajusta retroactivamente la puntuación de los hogares de esa microrruta.
LA QUINTA ACTIVIDAD · GESTIÓN REGULATORIA
Elevar la consulta a la CRA sobre la remuneración de orgánicos, obtener el registro ICA, tramitar el permiso ambiental, reportar las toneladas al Sistema Único de Información y participar en la discusión del nuevo acuerdo de subsidios del Concejo. No son trámites accesorios: son las actividades de las que depende que exista el ingreso.</t>
        </is>
      </c>
      <c r="C93" s="65" t="n"/>
      <c r="D93" s="65" t="n"/>
      <c r="E93" s="65" t="n"/>
      <c r="F93" s="65" t="n"/>
      <c r="G93" s="65" t="n"/>
      <c r="H93" s="65" t="n"/>
      <c r="I93" s="65" t="n"/>
      <c r="J93" s="65" t="n"/>
      <c r="K93" s="65" t="n"/>
      <c r="L93" s="1" t="n"/>
    </row>
    <row r="94" ht="10" customHeight="1">
      <c r="A94" s="1" t="n"/>
      <c r="B94" s="1" t="n"/>
      <c r="C94" s="1" t="n"/>
      <c r="D94" s="1" t="n"/>
      <c r="E94" s="1" t="n"/>
      <c r="F94" s="1" t="n"/>
      <c r="G94" s="1" t="n"/>
      <c r="H94" s="1" t="n"/>
      <c r="I94" s="1" t="n"/>
      <c r="J94" s="1" t="n"/>
      <c r="K94" s="1" t="n"/>
      <c r="L94" s="1" t="n"/>
    </row>
    <row r="95" ht="26" customHeight="1">
      <c r="A95" s="1" t="n"/>
      <c r="B95" s="84" t="inlineStr">
        <is>
          <t>8 · SOCIOS CLAVE</t>
        </is>
      </c>
      <c r="C95" s="84" t="n"/>
      <c r="D95" s="84" t="n"/>
      <c r="E95" s="84" t="n"/>
      <c r="F95" s="84" t="n"/>
      <c r="G95" s="84" t="n"/>
      <c r="H95" s="84" t="n"/>
      <c r="I95" s="84" t="n"/>
      <c r="J95" s="84" t="n"/>
      <c r="K95" s="84" t="n"/>
      <c r="L95" s="1" t="n"/>
    </row>
    <row r="96" ht="336.89" customHeight="1">
      <c r="A96" s="1" t="n"/>
      <c r="B96" s="85" t="inlineStr">
        <is>
          <t>Hay una diferencia importante entre un socio conveniente y un socio sin el cual el modelo no existe. Aquí hay tres del segundo tipo.
LOS RECICLADORES DE OFICIO: QUÉ DICE LA LEY Y POR QUÉ CONVIENE ALIARSE
Conviene precisar algo que suele confundirse. En Colombia el material reciclable seco —papel, cartón, vidrio, metal, plástico— se gestiona mediante la actividad de aprovechamiento, que el Decreto 596 de 2016 reserva a organizaciones constituidas en su totalidad por recicladores de oficio. Los residuos de comida corresponden a una actividad distinta, la de tratamiento, tal como lo establece el estudio elaborado por el Banco Mundial para el Ministerio de Vivienda, que precisa además que las organizaciones de recicladores se especializan en material inorgánico. Para operar con residuos orgánicos no se requiere legalmente su intermediación.
Aun así, aliarse con ellas es la decisión estratégicamente correcta por tres razones prácticas. Primera: ya tienen rutas de recolección establecidas en el territorio, y aprovecharlas es considerablemente más barato que construir una operación paralela, que es justamente el rubro que más encarece este negocio. Segunda: conocen el barrio casa por casa, un conocimiento que un operador nuevo no puede adquirir en el corto plazo. Y tercera: su participación alinea el proyecto con las acciones afirmativas ordenadas por la Corte Constitucional y promovidas expresamente por el PGIRS.
SOCIO IMPRESCINDIBLE 1 · LA UAESP
Es simultáneamente el regulador local, el comprador principal y el dueño de la meta que el proyecto ayuda a cumplir. Sin convenio con la UAESP no hay contrato de tratamiento ni reporte oficial de toneladas.
SOCIO IMPRESCINDIBLE 2 · LA ALCALDÍA LOCAL DE USME
Aporta los recursos del Fondo de Desarrollo Local, que es la fuente de financiación natural de un piloto territorial, y la focalización de beneficiarios. Y puede aportar algo aún más valioso: el lote para la planta. El arriendo de planta es uno de los tres gastos más pesados de la operación, y que el Distrito ponga suelo público convierte un costo recurrente en un aporte en especie.
SOCIOS QUE MEJORAN MUCHO EL MODELO
La EAAB, para el convenio que permite abonar el incentivo directamente a la cuenta contrato de la familia. AGROSAVIA, cuyo Centro de Investigación Tibaitatá está en Mosquera, en plena Sabana, para la validación agronómica sin la cual el campesino no compra. Las empresas padrino, que financian equipos y descuentan el 25 % de impuestos. Las asociaciones de paperos y floricultores, para vender sin intermediarios. Y los talleres de rotomoldeo de Bogotá, que fabrican las carcasas.</t>
        </is>
      </c>
      <c r="C96" s="85" t="n"/>
      <c r="D96" s="85" t="n"/>
      <c r="E96" s="85" t="n"/>
      <c r="F96" s="85" t="n"/>
      <c r="G96" s="85" t="n"/>
      <c r="H96" s="85" t="n"/>
      <c r="I96" s="85" t="n"/>
      <c r="J96" s="85" t="n"/>
      <c r="K96" s="85" t="n"/>
      <c r="L96" s="1" t="n"/>
    </row>
    <row r="97" ht="10" customHeight="1">
      <c r="A97" s="1" t="n"/>
      <c r="B97" s="1" t="n"/>
      <c r="C97" s="1" t="n"/>
      <c r="D97" s="1" t="n"/>
      <c r="E97" s="1" t="n"/>
      <c r="F97" s="1" t="n"/>
      <c r="G97" s="1" t="n"/>
      <c r="H97" s="1" t="n"/>
      <c r="I97" s="1" t="n"/>
      <c r="J97" s="1" t="n"/>
      <c r="K97" s="1" t="n"/>
      <c r="L97" s="1" t="n"/>
    </row>
    <row r="98" ht="26" customHeight="1">
      <c r="A98" s="1" t="n"/>
      <c r="B98" s="88" t="inlineStr">
        <is>
          <t>9 · ESTRUCTURA DE COSTOS</t>
        </is>
      </c>
      <c r="C98" s="88" t="n"/>
      <c r="D98" s="88" t="n"/>
      <c r="E98" s="88" t="n"/>
      <c r="F98" s="88" t="n"/>
      <c r="G98" s="88" t="n"/>
      <c r="H98" s="88" t="n"/>
      <c r="I98" s="88" t="n"/>
      <c r="J98" s="88" t="n"/>
      <c r="K98" s="88" t="n"/>
      <c r="L98" s="1" t="n"/>
    </row>
    <row r="99" ht="271.872" customHeight="1">
      <c r="A99" s="1" t="n"/>
      <c r="B99" s="89" t="inlineStr">
        <is>
          <t>Es una estructura intensiva en activos y en trabajo, y conviene entender por qué antes de ver las cifras: este es un servicio logístico puerta a puerta, y esos servicios los hace gente, no máquinas.
LO QUE SE PAGA UNA SOLA VEZ
El rubro dominante son los aparatos: $258,044 por unidad en pedidos de diez mil, que es la escala del despliegue, frente a $1,106,576 en pedidos de cien. Luego el desarrollo de la plataforma de software, $346.1 millones; la planta de compostaje; la flota; la red de antenas; la certificación RETIE, obligatoria para vender cualquier producto eléctrico en Colombia, $43.4 millones; y los moldes de fabricación.
LO QUE SE PAGA TODOS LOS MESES
El personal es el 39 % del gasto operativo. Un operario cuesta $2,764,188 mensuales y un conductor $3,398,595, con el factor prestacional del 42.18 % y ARL clase IV, que es la que corresponde a recolección de residuos y no la clase I que se suele suponer.
El segundo rubro es menos evidente: los consumibles que se le entregan a la familia —filtro de carbón, bolsas compostables y estructurante— pesan el 19 % del gasto, mientras que la conectividad, que parecía el problema difícil, es el 0.4 %. Visto solo sobre los costos atribuibles al aparato, los consumibles son cerca del 80 % y la radio entre el 2 % y el 12 %. La palanca de ahorro no es la tecnología: son el filtro y las bolsas.
Completan el cuadro el arriendo de planta, el combustible, el mantenimiento de la plataforma, el acompañamiento social y la administración.
LA VERDAD QUE HAY QUE DECIR
Tratar una tonelada de residuo orgánico recogido casa por casa cuesta más que enterrarla, porque el costo de la recolección depende del número de paradas y no del volumen recogido: cada hogar genera apenas 0.17 toneladas al año pero requiere una visita semanal.
Por eso el programa incorpora desde el diseño la línea institucional —colegios, plazas de mercado, comedores y restaurantes—, donde una sola parada rinde cientos de kilogramos. Esa línea diluye la estructura de costos y reduce el costo por tonelada tratada a menos de la tercera parte. La hoja de Costeo desarrolla la estructura de costos completa, las fuentes de ingreso, el resultado del año y el beneficio que recibe la ciudad.</t>
        </is>
      </c>
      <c r="C99" s="89" t="n"/>
      <c r="D99" s="89" t="n"/>
      <c r="E99" s="89" t="n"/>
      <c r="F99" s="89" t="n"/>
      <c r="G99" s="89" t="n"/>
      <c r="H99" s="89" t="n"/>
      <c r="I99" s="89" t="n"/>
      <c r="J99" s="89" t="n"/>
      <c r="K99" s="89" t="n"/>
      <c r="L99" s="1" t="n"/>
    </row>
    <row r="100" ht="10" customHeight="1">
      <c r="A100" s="1" t="n"/>
      <c r="B100" s="1" t="n"/>
      <c r="C100" s="1" t="n"/>
      <c r="D100" s="1" t="n"/>
      <c r="E100" s="1" t="n"/>
      <c r="F100" s="1" t="n"/>
      <c r="G100" s="1" t="n"/>
      <c r="H100" s="1" t="n"/>
      <c r="I100" s="1" t="n"/>
      <c r="J100" s="1" t="n"/>
      <c r="K100" s="1" t="n"/>
      <c r="L100" s="1" t="n"/>
    </row>
    <row r="101">
      <c r="A101" s="1" t="n"/>
      <c r="B101" s="1" t="n"/>
      <c r="C101" s="1" t="n"/>
      <c r="D101" s="1" t="n"/>
      <c r="E101" s="1" t="n"/>
      <c r="F101" s="1" t="n"/>
      <c r="G101" s="1" t="n"/>
      <c r="H101" s="1" t="n"/>
      <c r="I101" s="1" t="n"/>
      <c r="J101" s="1" t="n"/>
      <c r="K101" s="1" t="n"/>
      <c r="L101" s="1" t="n"/>
    </row>
    <row r="102">
      <c r="A102" s="1" t="n"/>
      <c r="B102" s="1" t="n"/>
      <c r="C102" s="1" t="n"/>
      <c r="D102" s="1" t="n"/>
      <c r="E102" s="1" t="n"/>
      <c r="F102" s="1" t="n"/>
      <c r="G102" s="1" t="n"/>
      <c r="H102" s="1" t="n"/>
      <c r="I102" s="1" t="n"/>
      <c r="J102" s="1" t="n"/>
      <c r="K102" s="1" t="n"/>
      <c r="L102" s="1" t="n"/>
    </row>
    <row r="103">
      <c r="A103" s="1" t="n"/>
      <c r="B103" s="1" t="n"/>
      <c r="C103" s="1" t="n"/>
      <c r="D103" s="1" t="n"/>
      <c r="E103" s="1" t="n"/>
      <c r="F103" s="1" t="n"/>
      <c r="G103" s="1" t="n"/>
      <c r="H103" s="1" t="n"/>
      <c r="I103" s="1" t="n"/>
      <c r="J103" s="1" t="n"/>
      <c r="K103" s="1" t="n"/>
      <c r="L103" s="1" t="n"/>
    </row>
  </sheetData>
  <mergeCells count="42">
    <mergeCell ref="G52:K52"/>
    <mergeCell ref="B99:K99"/>
    <mergeCell ref="B7:C7"/>
    <mergeCell ref="B84:K84"/>
    <mergeCell ref="H29:I29"/>
    <mergeCell ref="B74:K74"/>
    <mergeCell ref="B92:K92"/>
    <mergeCell ref="B83:K83"/>
    <mergeCell ref="B6:K6"/>
    <mergeCell ref="G53:K69"/>
    <mergeCell ref="B95:K95"/>
    <mergeCell ref="B89:K89"/>
    <mergeCell ref="F7:G7"/>
    <mergeCell ref="B52:F52"/>
    <mergeCell ref="B53:F69"/>
    <mergeCell ref="B80:K80"/>
    <mergeCell ref="D30:E51"/>
    <mergeCell ref="B4:K4"/>
    <mergeCell ref="B75:K75"/>
    <mergeCell ref="B81:K81"/>
    <mergeCell ref="J8:K51"/>
    <mergeCell ref="H30:I51"/>
    <mergeCell ref="B72:K72"/>
    <mergeCell ref="B3:K3"/>
    <mergeCell ref="B90:K90"/>
    <mergeCell ref="B71:K71"/>
    <mergeCell ref="D7:E7"/>
    <mergeCell ref="B93:K93"/>
    <mergeCell ref="H7:I7"/>
    <mergeCell ref="B96:K96"/>
    <mergeCell ref="J7:K7"/>
    <mergeCell ref="B77:K77"/>
    <mergeCell ref="B2:K2"/>
    <mergeCell ref="B86:K86"/>
    <mergeCell ref="D8:E28"/>
    <mergeCell ref="B98:K98"/>
    <mergeCell ref="B8:C51"/>
    <mergeCell ref="H8:I28"/>
    <mergeCell ref="D29:E29"/>
    <mergeCell ref="B87:K87"/>
    <mergeCell ref="F8:G51"/>
    <mergeCell ref="B78:K78"/>
  </mergeCells>
  <printOptions horizontalCentered="1"/>
  <pageMargins left="0.4" right="0.4" top="0.5" bottom="0.5" header="0.5" footer="0.5"/>
  <pageSetup orientation="landscape" paperSize="9" fitToHeight="0" fitToWidth="1"/>
  <ignoredErrors>
    <ignoredError sqref="A1:L103" numberStoredAsText="1"/>
  </ignoredErrors>
</worksheet>
</file>

<file path=xl/worksheets/sheet4.xml><?xml version="1.0" encoding="utf-8"?>
<worksheet xmlns="http://schemas.openxmlformats.org/spreadsheetml/2006/main">
  <sheetPr>
    <tabColor rgb="00A8802C"/>
    <outlinePr summaryBelow="1" summaryRight="1"/>
    <pageSetUpPr fitToPage="1"/>
  </sheetPr>
  <dimension ref="A1:L84"/>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2.43" customWidth="1" min="1" max="1"/>
    <col width="25.86" customWidth="1" min="2" max="2"/>
    <col width="25.86" customWidth="1" min="3" max="3"/>
    <col width="25.86" customWidth="1" min="4" max="4"/>
    <col width="25.86" customWidth="1" min="5" max="5"/>
    <col width="25.86" customWidth="1" min="6" max="6"/>
    <col width="25.86" customWidth="1" min="7" max="7"/>
    <col width="25.86" customWidth="1" min="8" max="8"/>
    <col width="25.86" customWidth="1" min="9" max="9"/>
    <col width="25.86" customWidth="1" min="10" max="10"/>
    <col width="25.86" customWidth="1" min="11" max="11"/>
    <col width="2.43" customWidth="1" min="12" max="12"/>
  </cols>
  <sheetData>
    <row r="1">
      <c r="A1" s="1" t="n"/>
      <c r="B1" s="1" t="n"/>
      <c r="C1" s="1" t="n"/>
      <c r="D1" s="1" t="n"/>
      <c r="E1" s="1" t="n"/>
      <c r="F1" s="1" t="n"/>
      <c r="G1" s="1" t="n"/>
      <c r="H1" s="1" t="n"/>
      <c r="I1" s="1" t="n"/>
      <c r="J1" s="1" t="n"/>
      <c r="K1" s="1" t="n"/>
      <c r="L1" s="1" t="n"/>
    </row>
    <row r="2" ht="46" customHeight="1">
      <c r="A2" s="1" t="n"/>
      <c r="B2" s="2" t="inlineStr">
        <is>
          <t>MODELO DE NEGOCIO CANVAS · VERSIÓN RESUMIDA</t>
        </is>
      </c>
      <c r="C2" s="2" t="n"/>
      <c r="D2" s="2" t="n"/>
      <c r="E2" s="2" t="n"/>
      <c r="F2" s="2" t="n"/>
      <c r="G2" s="2" t="n"/>
      <c r="H2" s="2" t="n"/>
      <c r="I2" s="2" t="n"/>
      <c r="J2" s="2" t="n"/>
      <c r="K2" s="2" t="n"/>
      <c r="L2" s="1" t="n"/>
    </row>
    <row r="3" ht="24" customHeight="1">
      <c r="A3" s="1" t="n"/>
      <c r="B3" s="3" t="inlineStr">
        <is>
          <t>La misma hoja anterior, con la propuesta de valor presentada como pitch: el problema de los orgánicos, el problema del fertilizante y la solución, con cifras</t>
        </is>
      </c>
      <c r="C3" s="3" t="n"/>
      <c r="D3" s="3" t="n"/>
      <c r="E3" s="3" t="n"/>
      <c r="F3" s="3" t="n"/>
      <c r="G3" s="3" t="n"/>
      <c r="H3" s="3" t="n"/>
      <c r="I3" s="3" t="n"/>
      <c r="J3" s="3" t="n"/>
      <c r="K3" s="3" t="n"/>
      <c r="L3" s="1" t="n"/>
    </row>
    <row r="4" ht="42.59799999999999" customHeight="1">
      <c r="A4" s="1" t="n"/>
      <c r="B4" s="4" t="inlineStr">
        <is>
          <t>Cómo leer este lienzo. Los bloques están ubicados en las posiciones clásicas del Canvas, pero numerados en el orden lógico de construcción: primero se define qué se ofrece y a quién (1 y 2), luego cómo se llega y se conserva a esa gente (3 y 4), después de dónde salen los ingresos (5); solo entonces se define qué se necesita para lograrlo (6, 7 y 8) y, al final, cuánto cuesta todo eso (9). Siga los números, no las columnas.</t>
        </is>
      </c>
      <c r="C4" s="4" t="n"/>
      <c r="D4" s="4" t="n"/>
      <c r="E4" s="4" t="n"/>
      <c r="F4" s="4" t="n"/>
      <c r="G4" s="4" t="n"/>
      <c r="H4" s="4" t="n"/>
      <c r="I4" s="4" t="n"/>
      <c r="J4" s="4" t="n"/>
      <c r="K4" s="4" t="n"/>
      <c r="L4" s="1" t="n"/>
    </row>
    <row r="5" ht="10" customHeight="1">
      <c r="A5" s="1" t="n"/>
      <c r="B5" s="1" t="n"/>
      <c r="C5" s="1" t="n"/>
      <c r="D5" s="1" t="n"/>
      <c r="E5" s="1" t="n"/>
      <c r="F5" s="1" t="n"/>
      <c r="G5" s="1" t="n"/>
      <c r="H5" s="1" t="n"/>
      <c r="I5" s="1" t="n"/>
      <c r="J5" s="1" t="n"/>
      <c r="K5" s="1" t="n"/>
      <c r="L5" s="1" t="n"/>
    </row>
    <row r="6" ht="20" customHeight="1">
      <c r="A6" s="1" t="n"/>
      <c r="B6" s="5" t="inlineStr">
        <is>
          <t>El lienzo completo</t>
        </is>
      </c>
      <c r="C6" s="5" t="n"/>
      <c r="D6" s="5" t="n"/>
      <c r="E6" s="5" t="n"/>
      <c r="F6" s="5" t="n"/>
      <c r="G6" s="5" t="n"/>
      <c r="H6" s="5" t="n"/>
      <c r="I6" s="5" t="n"/>
      <c r="J6" s="5" t="n"/>
      <c r="K6" s="5" t="n"/>
      <c r="L6" s="1" t="n"/>
    </row>
    <row r="7" ht="21" customHeight="1">
      <c r="A7" s="1" t="n"/>
      <c r="B7" s="71" t="inlineStr">
        <is>
          <t>8 · SOCIOS CLAVE</t>
        </is>
      </c>
      <c r="C7" s="71" t="n"/>
      <c r="D7" s="72" t="inlineStr">
        <is>
          <t>7 · ACTIVIDADES CLAVE</t>
        </is>
      </c>
      <c r="E7" s="72" t="n"/>
      <c r="F7" s="73" t="inlineStr">
        <is>
          <t>1 · PROPUESTA DE VALOR</t>
        </is>
      </c>
      <c r="G7" s="73" t="n"/>
      <c r="H7" s="74" t="inlineStr">
        <is>
          <t>4 · RELACIÓN CON LOS CLIENTES</t>
        </is>
      </c>
      <c r="I7" s="74" t="n"/>
      <c r="J7" s="71" t="inlineStr">
        <is>
          <t>2 · SEGMENTOS DE CLIENTES</t>
        </is>
      </c>
      <c r="K7" s="71" t="n"/>
      <c r="L7" s="1" t="n"/>
    </row>
    <row r="8" ht="37.01802029090909" customHeight="1">
      <c r="A8" s="1" t="n"/>
      <c r="B8" s="75" t="inlineStr">
        <is>
          <t>SIN ESTOS NO HAY PROYECTO
1. LA UAESP Y LA ALCALDÍA LOCAL DE USME. Son quienes pagan el contrato de tratamiento, quienes ponen los recursos del Fondo de Desarrollo Local y quienes pueden aportar el lote de la planta, que es uno de los gastos más pesados de toda la operación.
2. LAS ORGANIZACIONES DE RECICLADORES. Aquí hay que aclarar algo que se suele confundir: la ley les reserva el material RECICLABLE —papel, cartón, vidrio, metal—, no la comida. Para trabajar con residuos de comida NO se necesita su permiso. Pero sí conviene aliarse, porque ya tienen rutas armadas, conocen el barrio casa por casa y tienen una legitimidad que no se compra. En Usme están COOPARAUS y ASOBEUM.
AYUDAN MUCHO
4. El Acueducto de Bogotá, para abonar el incentivo a la cuenta de la familia.
5. AGROSAVIA, que está en Mosquera, para certificar que el abono sirve. El campesino no compra sin eso.
6. Empresas padrino, que ponen los aparatos y descuentan el 25 % de impuestos.
7. Asociaciones de paperos y floricultores, para vender sin intermediarios.
8. Talleres de rotomoldeo de Bogotá, que fabrican el chasis y la tapa con molde propio del proyecto.</t>
        </is>
      </c>
      <c r="C8" s="75" t="n"/>
      <c r="D8" s="76" t="inlineStr">
        <is>
          <t>1. FABRICAR Y ARMAR EL APARATO. Las piezas plásticas se hacen en Bogotá; la electrónica y el motor se importan; el armado final es aquí, lo que genera empleo local.
2. INSTALAR Y ENSEÑAR. Llevar el aparato a la casa, conectarlo y enseñar a usarlo. Aquí se gana o se pierde el proyecto.
3. VIGILAR LOS SENSORES. La plataforma recibe los avisos de llenado y arma el mapa de la ciudad.
4. ARMAR LA RUTA DEL DÍA. Cada mañana el sistema calcula por dónde debe pasar el camión, pasando solo donde hay algo que recoger. Eso ahorra entre 15 % y 30 % de recorrido.
5. RECOGER, PESAR Y VALIDAR. El operario escanea el carné, confirma el peso y revisa que no haya plástico ni vidrio.
6. HACER EL ABONO. Compostar, madurar, voltear, analizar en laboratorio y empacar cumpliendo la norma NTC 5167.
7. VENDER. Colocar el abono en fincas y almacenes.
8. GESTIONAR LA REGULACIÓN. Obtener de la CRA el reconocimiento del tratamiento en la tarifa con base en el artículo 31 de la Resolución 720 de 2015, sacar el registro ICA, el permiso ambiental y reportar las toneladas. Sin esto no hay ingreso; no es un trámite, es el negocio.</t>
        </is>
      </c>
      <c r="E8" s="76" t="n"/>
      <c r="F8" s="77" t="inlineStr">
        <is>
          <t>Bogotá entierra 6,769 toneladas de basura al día en el relleno de Doña Juana. El 53.22 % de esa masa es materia orgánica y el 74 % de esa comida sale de las cocinas de las casas: 2,666 toneladas diarias que la ciudad paga $191,190 por tonelada para enterrar y que, una vez enterradas, siguen produciendo metano durante décadas. Bogotá se obligó por decreto a tratar el 20 % de esos orgánicos y hoy trata el 0.03 %. El relleno está en Usme, una localidad de 414,995 habitantes con 57.81 % de pobreza monetaria y ninguna manzana por encima de estrato 2, que además genera entre 2,520 y 5,135 toneladas de residuo orgánico propio cada mes.
A menos de cincuenta kilómetros de ese relleno, la Sabana de Bogotá compra en el exterior el mismo nutriente que la ciudad está enterrando. Colombia importa cerca del 90 % del fertilizante que consume, 2.3 millones de toneladas en 2025. El bulto de urea subió 231.6 % entre 2021 y 2022 y hoy cuesta $186,235, un 36.2 % más que hace un año, a precios que se fijan fuera del país. Ese insumo pesa entre el 18.5 % y el 19.1 % del costo de sembrar una hectárea de papa, y la Sabana sembró 76,626 hectáreas en 2025, 58,087 de ellas en papa: $368,256 millones al año solo en ese cultivo. Y el suelo se agota, porque se fertiliza sin reponer materia orgánica: el 80.3 % de las tierras de Cundinamarca ya está erosionado, frente al 40 % del promedio nacional, y menos de la mitad del nitrógeno aplicado llega siquiera a la planta.
Son el mismo problema partido en dos, y Recoevo lo cierra. Un aparato en la cocina muele la comida al cerrar la tapa, le quita el olor y pesa lo que entra: la familia deja de convivir con la bolsa abierta, no paga el equipo, que vale $258,044, y ve hasta $1,500 al mes abonados a su factura del acueducto por separar bien. Una ruta que sabe qué casa está llena antes de salir recoge esa comida ya medida, junto con la de 346 colegios, comedores, restaurantes y la plaza de mercado, que dejan de pagar el aforo de unos residuos que ya no botan y se ahorran $276,426 al año sin invertir capital. Una planta la convierte en 1,761 toneladas de abono certificado que vuelven al suelo de la Sabana, a precio estable y producidas a cincuenta kilómetros de donde se usan. Al cabo del año son 5,032 toneladas que no se enterraron, contadas una por una y auditables, con las que Bogotá empieza a cumplir su propia meta y se ahorra $41,190 en cada tonelada domiciliaria.</t>
        </is>
      </c>
      <c r="G8" s="77" t="n"/>
      <c r="H8" s="78" t="inlineStr">
        <is>
          <t>LA CLAVE: acompañar, no vigilar.
AL PRINCIPIO
Instalamos el aparato en la casa, mostramos cómo se usa y entregamos el carné. Nadie separa bien si nadie le explicó.
TODAS LAS SEMANAS
El operario pasa, pesa, escanea el carné y le dice a la familia cuántos puntos ganó. Ese contacto semanal es lo que sostiene la costumbre.
EN EL MOMENTO
El aparato muestra el peso y los puntos apenas cierra la tapa. Esto no es un detalle: en Corea del Sur lo que hizo funcionar el sistema no fue el premio, fue ver el resultado al instante.
CUANDO ALGO SALE MAL
Primero se avisa y se explica. La mayoría de los errores son por no saber, no por mala fe. Solo si sigue pasando se bajan los puntos. El retiro del equipo es el último recurso y solo aplica a equipos prestados.
CON EL BARRIO
Cada tres meses se cuenta en asamblea cuántas toneladas sacó el barrio y cuánto recibieron las familias. La competencia sana entre cuadras funciona mejor que cualquier campaña.</t>
        </is>
      </c>
      <c r="I8" s="78" t="n"/>
      <c r="J8" s="75" t="inlineStr">
        <is>
          <t>Conviene distinguir dos grupos: uno usa el servicio y el otro lo paga.
QUIÉN LO USA (no paga nada)
· 12,000 hogares de estrato 1 y 2 de Usme.
· 346 establecimientos: colegios, la plaza de mercado, comedores, restaurantes y tiendas de alimentos.
· Arrancamos por Gran Yomasa y Comuneros: ahí vive el 57.7 % de la localidad.
· Primero conjuntos y edificios, después casas sueltas. En Corea el sistema funcionó al 81.6 % en apartamentos y solo al 37.9 % en casas: cuando el vecino ve, la gente separa mejor.
QUIÉN PAGA
1. LA ALCALDÍA DE BOGOTÁ (cliente principal). Nos paga por tonelada tratada. Compra el cumplimiento de una meta que hoy no puede cumplir.
2. COLEGIOS, PLAZAS DE MERCADO, RESTAURANTES Y COMEDORES de Usme. Nos pagan por recogerles sus residuos de comida, más barato de lo que les cuesta hoy. Es el cliente que da volumen rápido y sin regalar aparatos.
3. CAMPESINOS Y FLORICULTORES de la Sabana. Compran el abono. Papa en Villapinzón, Tausa, Chocontá y Subachoque; flores en Madrid, Facatativá y El Rosal.
4. EMPRESAS QUE APADRINAN. Pagan los aparatos de familias que no pueden comprarlos y descuentan el 25 % de impuestos.</t>
        </is>
      </c>
      <c r="K8" s="75" t="n"/>
      <c r="L8" s="1" t="n"/>
    </row>
    <row r="9" ht="37.01802029090909" customHeight="1">
      <c r="A9" s="1" t="n"/>
      <c r="B9" s="75" t="n"/>
      <c r="C9" s="75" t="n"/>
      <c r="D9" s="76" t="n"/>
      <c r="E9" s="76" t="n"/>
      <c r="F9" s="77" t="n"/>
      <c r="G9" s="77" t="n"/>
      <c r="H9" s="78" t="n"/>
      <c r="I9" s="78" t="n"/>
      <c r="J9" s="75" t="n"/>
      <c r="K9" s="75" t="n"/>
      <c r="L9" s="1" t="n"/>
    </row>
    <row r="10" ht="37.01802029090909" customHeight="1">
      <c r="A10" s="1" t="n"/>
      <c r="B10" s="75" t="n"/>
      <c r="C10" s="75" t="n"/>
      <c r="D10" s="76" t="n"/>
      <c r="E10" s="76" t="n"/>
      <c r="F10" s="77" t="n"/>
      <c r="G10" s="77" t="n"/>
      <c r="H10" s="78" t="n"/>
      <c r="I10" s="78" t="n"/>
      <c r="J10" s="75" t="n"/>
      <c r="K10" s="75" t="n"/>
      <c r="L10" s="1" t="n"/>
    </row>
    <row r="11" ht="37.01802029090909" customHeight="1">
      <c r="A11" s="1" t="n"/>
      <c r="B11" s="75" t="n"/>
      <c r="C11" s="75" t="n"/>
      <c r="D11" s="76" t="n"/>
      <c r="E11" s="76" t="n"/>
      <c r="F11" s="77" t="n"/>
      <c r="G11" s="77" t="n"/>
      <c r="H11" s="78" t="n"/>
      <c r="I11" s="78" t="n"/>
      <c r="J11" s="75" t="n"/>
      <c r="K11" s="75" t="n"/>
      <c r="L11" s="1" t="n"/>
    </row>
    <row r="12" ht="37.01802029090909" customHeight="1">
      <c r="A12" s="1" t="n"/>
      <c r="B12" s="75" t="n"/>
      <c r="C12" s="75" t="n"/>
      <c r="D12" s="76" t="n"/>
      <c r="E12" s="76" t="n"/>
      <c r="F12" s="77" t="n"/>
      <c r="G12" s="77" t="n"/>
      <c r="H12" s="78" t="n"/>
      <c r="I12" s="78" t="n"/>
      <c r="J12" s="75" t="n"/>
      <c r="K12" s="75" t="n"/>
      <c r="L12" s="1" t="n"/>
    </row>
    <row r="13" ht="37.01802029090909" customHeight="1">
      <c r="A13" s="1" t="n"/>
      <c r="B13" s="75" t="n"/>
      <c r="C13" s="75" t="n"/>
      <c r="D13" s="76" t="n"/>
      <c r="E13" s="76" t="n"/>
      <c r="F13" s="77" t="n"/>
      <c r="G13" s="77" t="n"/>
      <c r="H13" s="78" t="n"/>
      <c r="I13" s="78" t="n"/>
      <c r="J13" s="75" t="n"/>
      <c r="K13" s="75" t="n"/>
      <c r="L13" s="1" t="n"/>
    </row>
    <row r="14" ht="37.01802029090909" customHeight="1">
      <c r="A14" s="1" t="n"/>
      <c r="B14" s="75" t="n"/>
      <c r="C14" s="75" t="n"/>
      <c r="D14" s="76" t="n"/>
      <c r="E14" s="76" t="n"/>
      <c r="F14" s="77" t="n"/>
      <c r="G14" s="77" t="n"/>
      <c r="H14" s="78" t="n"/>
      <c r="I14" s="78" t="n"/>
      <c r="J14" s="75" t="n"/>
      <c r="K14" s="75" t="n"/>
      <c r="L14" s="1" t="n"/>
    </row>
    <row r="15" ht="37.01802029090909" customHeight="1">
      <c r="A15" s="1" t="n"/>
      <c r="B15" s="75" t="n"/>
      <c r="C15" s="75" t="n"/>
      <c r="D15" s="76" t="n"/>
      <c r="E15" s="76" t="n"/>
      <c r="F15" s="77" t="n"/>
      <c r="G15" s="77" t="n"/>
      <c r="H15" s="78" t="n"/>
      <c r="I15" s="78" t="n"/>
      <c r="J15" s="75" t="n"/>
      <c r="K15" s="75" t="n"/>
      <c r="L15" s="1" t="n"/>
    </row>
    <row r="16" ht="37.01802029090909" customHeight="1">
      <c r="A16" s="1" t="n"/>
      <c r="B16" s="75" t="n"/>
      <c r="C16" s="75" t="n"/>
      <c r="D16" s="76" t="n"/>
      <c r="E16" s="76" t="n"/>
      <c r="F16" s="77" t="n"/>
      <c r="G16" s="77" t="n"/>
      <c r="H16" s="78" t="n"/>
      <c r="I16" s="78" t="n"/>
      <c r="J16" s="75" t="n"/>
      <c r="K16" s="75" t="n"/>
      <c r="L16" s="1" t="n"/>
    </row>
    <row r="17" ht="37.01802029090909" customHeight="1">
      <c r="A17" s="1" t="n"/>
      <c r="B17" s="75" t="n"/>
      <c r="C17" s="75" t="n"/>
      <c r="D17" s="76" t="n"/>
      <c r="E17" s="76" t="n"/>
      <c r="F17" s="77" t="n"/>
      <c r="G17" s="77" t="n"/>
      <c r="H17" s="78" t="n"/>
      <c r="I17" s="78" t="n"/>
      <c r="J17" s="75" t="n"/>
      <c r="K17" s="75" t="n"/>
      <c r="L17" s="1" t="n"/>
    </row>
    <row r="18" ht="37.01802029090909" customHeight="1">
      <c r="A18" s="1" t="n"/>
      <c r="B18" s="75" t="n"/>
      <c r="C18" s="75" t="n"/>
      <c r="D18" s="76" t="n"/>
      <c r="E18" s="76" t="n"/>
      <c r="F18" s="77" t="n"/>
      <c r="G18" s="77" t="n"/>
      <c r="H18" s="78" t="n"/>
      <c r="I18" s="78" t="n"/>
      <c r="J18" s="75" t="n"/>
      <c r="K18" s="75" t="n"/>
      <c r="L18" s="1" t="n"/>
    </row>
    <row r="19" ht="16.4265912" customHeight="1">
      <c r="A19" s="1" t="n"/>
      <c r="B19" s="75" t="n"/>
      <c r="C19" s="75" t="n"/>
      <c r="D19" s="72" t="inlineStr">
        <is>
          <t>6 · RECURSOS CLAVE</t>
        </is>
      </c>
      <c r="E19" s="72" t="n"/>
      <c r="F19" s="77" t="n"/>
      <c r="G19" s="77" t="n"/>
      <c r="H19" s="74" t="inlineStr">
        <is>
          <t>3 · CANALES</t>
        </is>
      </c>
      <c r="I19" s="74" t="n"/>
      <c r="J19" s="75" t="n"/>
      <c r="K19" s="75" t="n"/>
      <c r="L19" s="1" t="n"/>
    </row>
    <row r="20" ht="31.11342307692308" customHeight="1">
      <c r="A20" s="1" t="n"/>
      <c r="B20" s="75" t="n"/>
      <c r="C20" s="75" t="n"/>
      <c r="D20" s="76" t="inlineStr">
        <is>
          <t>LO QUE NO SE PUEDE COPIAR FÁCIL
1. LOS APARATOS YA INSTALADOS. Una vez la familia lo tiene en la cocina y acumula puntos, cambiarse cuesta. Es nuestra principal barrera de entrada.
2. LA RED DE ANTENAS PROPIA. Instaladas en colegios y estaciones del TransMiCable, gratis, en lo alto de los cerros. Cuesta 43 veces menos que pagarle a un operador de celular.
3. LOS DATOS. Hoy nadie en Bogotá sabe cuánta basura produce cada barrio: la UAESP solo tiene el dato por zonas grandes. Nosotros lo sabríamos casa por casa y día por día. Ese dato tiene valor propio.
4. LA PLANTA con su permiso ambiental y el registro del ICA. Sin registro no se puede vender abono, y sacarlo toma tiempo.
5. LA ALIANZA CON LOS RECICLADORES. No es un requisito legal para trabajar con comida —eso se aclara en el bloque 8— pero sí es un activo: ellos ya tienen rutas armadas y conocen el barrio casa por casa, que es lo que más cuesta construir desde cero.
6. EL EQUIPO. Hace falta gente de tres mundos que casi nunca trabajan junta: ingeniería de producto, logística y trabajo social de barrio.</t>
        </is>
      </c>
      <c r="E20" s="76" t="n"/>
      <c r="F20" s="77" t="n"/>
      <c r="G20" s="77" t="n"/>
      <c r="H20" s="78" t="inlineStr">
        <is>
          <t>CÓMO LLEGAMOS A LAS FAMILIAS
· Juntas de Acción Comunal y administradores de conjuntos. Son la puerta de entrada al barrio.
· Jornadas de instalación casa por casa, con demostración en vivo.
· La Alcaldía Local, que ya tiene identificadas a las familias por Sisbén.
CÓMO NOS MANTENEMOS EN CONTACTO
· El camión de recolección. Es nuestro canal más importante: pasa cada semana, cambia el filtro y deja las bolsas. No es solo un camión, es nuestro punto de servicio.
· WhatsApp para consultar puntos. Sin aplicaciones que instalar ni datos que gastar.
CÓMO VENDEMOS EL ABONO
· Venta directa en finca y a través de asociaciones de productores.
· Almacenes agropecuarios de la Sabana.
· Contratos con la Alcaldía para parques, arbolado y huertas urbanas.
CÓMO CONSEGUIMOS LOS CLIENTES INSTITUCIONALES
· Visita directa a colegios, plazas y comedores. Es una venta cara a cara, corta y con cifras.</t>
        </is>
      </c>
      <c r="I20" s="78" t="n"/>
      <c r="J20" s="75" t="n"/>
      <c r="K20" s="75" t="n"/>
      <c r="L20" s="1" t="n"/>
    </row>
    <row r="21" ht="31.11342307692308" customHeight="1">
      <c r="A21" s="1" t="n"/>
      <c r="B21" s="75" t="n"/>
      <c r="C21" s="75" t="n"/>
      <c r="D21" s="76" t="n"/>
      <c r="E21" s="76" t="n"/>
      <c r="F21" s="77" t="n"/>
      <c r="G21" s="77" t="n"/>
      <c r="H21" s="78" t="n"/>
      <c r="I21" s="78" t="n"/>
      <c r="J21" s="75" t="n"/>
      <c r="K21" s="75" t="n"/>
      <c r="L21" s="1" t="n"/>
    </row>
    <row r="22" ht="31.11342307692308" customHeight="1">
      <c r="A22" s="1" t="n"/>
      <c r="B22" s="75" t="n"/>
      <c r="C22" s="75" t="n"/>
      <c r="D22" s="76" t="n"/>
      <c r="E22" s="76" t="n"/>
      <c r="F22" s="77" t="n"/>
      <c r="G22" s="77" t="n"/>
      <c r="H22" s="78" t="n"/>
      <c r="I22" s="78" t="n"/>
      <c r="J22" s="75" t="n"/>
      <c r="K22" s="75" t="n"/>
      <c r="L22" s="1" t="n"/>
    </row>
    <row r="23" ht="31.11342307692308" customHeight="1">
      <c r="A23" s="1" t="n"/>
      <c r="B23" s="75" t="n"/>
      <c r="C23" s="75" t="n"/>
      <c r="D23" s="76" t="n"/>
      <c r="E23" s="76" t="n"/>
      <c r="F23" s="77" t="n"/>
      <c r="G23" s="77" t="n"/>
      <c r="H23" s="78" t="n"/>
      <c r="I23" s="78" t="n"/>
      <c r="J23" s="75" t="n"/>
      <c r="K23" s="75" t="n"/>
      <c r="L23" s="1" t="n"/>
    </row>
    <row r="24" ht="31.11342307692308" customHeight="1">
      <c r="A24" s="1" t="n"/>
      <c r="B24" s="75" t="n"/>
      <c r="C24" s="75" t="n"/>
      <c r="D24" s="76" t="n"/>
      <c r="E24" s="76" t="n"/>
      <c r="F24" s="77" t="n"/>
      <c r="G24" s="77" t="n"/>
      <c r="H24" s="78" t="n"/>
      <c r="I24" s="78" t="n"/>
      <c r="J24" s="75" t="n"/>
      <c r="K24" s="75" t="n"/>
      <c r="L24" s="1" t="n"/>
    </row>
    <row r="25" ht="31.11342307692308" customHeight="1">
      <c r="A25" s="1" t="n"/>
      <c r="B25" s="75" t="n"/>
      <c r="C25" s="75" t="n"/>
      <c r="D25" s="76" t="n"/>
      <c r="E25" s="76" t="n"/>
      <c r="F25" s="77" t="n"/>
      <c r="G25" s="77" t="n"/>
      <c r="H25" s="78" t="n"/>
      <c r="I25" s="78" t="n"/>
      <c r="J25" s="75" t="n"/>
      <c r="K25" s="75" t="n"/>
      <c r="L25" s="1" t="n"/>
    </row>
    <row r="26" ht="31.11342307692308" customHeight="1">
      <c r="A26" s="1" t="n"/>
      <c r="B26" s="75" t="n"/>
      <c r="C26" s="75" t="n"/>
      <c r="D26" s="76" t="n"/>
      <c r="E26" s="76" t="n"/>
      <c r="F26" s="77" t="n"/>
      <c r="G26" s="77" t="n"/>
      <c r="H26" s="78" t="n"/>
      <c r="I26" s="78" t="n"/>
      <c r="J26" s="75" t="n"/>
      <c r="K26" s="75" t="n"/>
      <c r="L26" s="1" t="n"/>
    </row>
    <row r="27" ht="31.11342307692308" customHeight="1">
      <c r="A27" s="1" t="n"/>
      <c r="B27" s="75" t="n"/>
      <c r="C27" s="75" t="n"/>
      <c r="D27" s="76" t="n"/>
      <c r="E27" s="76" t="n"/>
      <c r="F27" s="77" t="n"/>
      <c r="G27" s="77" t="n"/>
      <c r="H27" s="78" t="n"/>
      <c r="I27" s="78" t="n"/>
      <c r="J27" s="75" t="n"/>
      <c r="K27" s="75" t="n"/>
      <c r="L27" s="1" t="n"/>
    </row>
    <row r="28" ht="31.11342307692308" customHeight="1">
      <c r="A28" s="1" t="n"/>
      <c r="B28" s="75" t="n"/>
      <c r="C28" s="75" t="n"/>
      <c r="D28" s="76" t="n"/>
      <c r="E28" s="76" t="n"/>
      <c r="F28" s="77" t="n"/>
      <c r="G28" s="77" t="n"/>
      <c r="H28" s="78" t="n"/>
      <c r="I28" s="78" t="n"/>
      <c r="J28" s="75" t="n"/>
      <c r="K28" s="75" t="n"/>
      <c r="L28" s="1" t="n"/>
    </row>
    <row r="29" ht="31.11342307692308" customHeight="1">
      <c r="A29" s="1" t="n"/>
      <c r="B29" s="75" t="n"/>
      <c r="C29" s="75" t="n"/>
      <c r="D29" s="76" t="n"/>
      <c r="E29" s="76" t="n"/>
      <c r="F29" s="77" t="n"/>
      <c r="G29" s="77" t="n"/>
      <c r="H29" s="78" t="n"/>
      <c r="I29" s="78" t="n"/>
      <c r="J29" s="75" t="n"/>
      <c r="K29" s="75" t="n"/>
      <c r="L29" s="1" t="n"/>
    </row>
    <row r="30" ht="31.11342307692308" customHeight="1">
      <c r="A30" s="1" t="n"/>
      <c r="B30" s="75" t="n"/>
      <c r="C30" s="75" t="n"/>
      <c r="D30" s="76" t="n"/>
      <c r="E30" s="76" t="n"/>
      <c r="F30" s="77" t="n"/>
      <c r="G30" s="77" t="n"/>
      <c r="H30" s="78" t="n"/>
      <c r="I30" s="78" t="n"/>
      <c r="J30" s="75" t="n"/>
      <c r="K30" s="75" t="n"/>
      <c r="L30" s="1" t="n"/>
    </row>
    <row r="31" ht="31.11342307692308" customHeight="1">
      <c r="A31" s="1" t="n"/>
      <c r="B31" s="75" t="n"/>
      <c r="C31" s="75" t="n"/>
      <c r="D31" s="76" t="n"/>
      <c r="E31" s="76" t="n"/>
      <c r="F31" s="77" t="n"/>
      <c r="G31" s="77" t="n"/>
      <c r="H31" s="78" t="n"/>
      <c r="I31" s="78" t="n"/>
      <c r="J31" s="75" t="n"/>
      <c r="K31" s="75" t="n"/>
      <c r="L31" s="1" t="n"/>
    </row>
    <row r="32" ht="31.11342307692308" customHeight="1">
      <c r="A32" s="1" t="n"/>
      <c r="B32" s="75" t="n"/>
      <c r="C32" s="75" t="n"/>
      <c r="D32" s="76" t="n"/>
      <c r="E32" s="76" t="n"/>
      <c r="F32" s="77" t="n"/>
      <c r="G32" s="77" t="n"/>
      <c r="H32" s="78" t="n"/>
      <c r="I32" s="78" t="n"/>
      <c r="J32" s="75" t="n"/>
      <c r="K32" s="75" t="n"/>
      <c r="L32" s="1" t="n"/>
    </row>
    <row r="33" ht="21" customHeight="1">
      <c r="A33" s="1" t="n"/>
      <c r="B33" s="79" t="inlineStr">
        <is>
          <t>9 · ESTRUCTURA DE COSTOS</t>
        </is>
      </c>
      <c r="C33" s="79" t="n"/>
      <c r="D33" s="79" t="n"/>
      <c r="E33" s="79" t="n"/>
      <c r="F33" s="79" t="n"/>
      <c r="G33" s="80" t="inlineStr">
        <is>
          <t>5 · FUENTES DE INGRESOS</t>
        </is>
      </c>
      <c r="H33" s="80" t="n"/>
      <c r="I33" s="80" t="n"/>
      <c r="J33" s="80" t="n"/>
      <c r="K33" s="80" t="n"/>
      <c r="L33" s="1" t="n"/>
    </row>
    <row r="34" ht="14.5" customHeight="1">
      <c r="A34" s="1" t="n"/>
      <c r="B34" s="81" t="inlineStr">
        <is>
          <t>LO QUE SE PAGA UNA SOLA VEZ (inversión)
· Los aparatos: es el gasto más grande. Cada uno cuesta $258,044 fabricándolos de a diez mil, que es la escala del despliegue; de a cien costaría $1,106,576.
· La planta de compostaje.
· El programa de computador: $346 millones.
· Las antenas, el camión, el permiso RETIE ($43 millones) y los moldes.
LO QUE SE PAGA TODOS LOS MESES
· Sueldos: es el 39 % del gasto. Recoger casa por casa es un trabajo de gente, no de máquinas.
· Los repuestos de la familia (filtro, bolsas, aserrín): 19 % del gasto. Pesan más de lo que suele suponerse, más que el internet de los aparatos, que es apenas el 0.4 %.
· Arriendo de la planta, combustible, mantenimiento y administración.
LA VERDAD INCÓMODA
Tratar una tonelada cuesta más que enterrarla. Por eso el modelo tal como se pensó al principio no se paga solo. En la hoja de Costeo mostramos tres formas concretas de cerrar esa brecha, y una de ellas llega al punto de equilibrio.</t>
        </is>
      </c>
      <c r="C34" s="81" t="n"/>
      <c r="D34" s="81" t="n"/>
      <c r="E34" s="81" t="n"/>
      <c r="F34" s="81" t="n"/>
      <c r="G34" s="82" t="inlineStr">
        <is>
          <t>1. LA ALCALDÍA NOS PAGA POR RECOGER Y TRATAR — $150,000 por tonelada.
Es nuestro ingreso más seguro. Hoy esa misma tonelada le cuesta $191,190 entre el camión, el relleno y el tratamiento del líquido, así que ella se ahorra $41,190 en cada una.
2. COLEGIOS, PLAZAS Y RESTAURANTES NOS PAGARÍAN POR RECOGER — $100,000 por tonelada. Es una extensión posible, no costeada en este proyecto.
Este es el ingreso que vuelve rentable el negocio: no hay que regalarles aparatos, el residuo está concentrado y una sola parada rinde cientos de kilos.
3. VENDEMOS EL ABONO — entre $250,000 y $700,000 la tonelada según la presentación.
A granel para el campesino, humus de lombriz para cultivos finos, y empacado para jardinería urbana, que es el que mejor se paga.
4. BONOS DE CARBONO — unos $29,070 por tonelada de CO₂ evitada.
Solo sirve si procesamos más de 20 toneladas al día. Por debajo de eso, certificarlo cuesta más de lo que produce.
5. EL DISTRITO TAMBIÉN PUEDE APORTAR EL LOTE DE LA PLANTA.
No es dinero en efectivo, pero el arriendo del predio es uno de los gastos más pesados de la operación, y Usme tiene 18,500 hectáreas rurales. Convertirlo en un aporte en especie libera varios cientos de millones al año.</t>
        </is>
      </c>
      <c r="H34" s="82" t="n"/>
      <c r="I34" s="82" t="n"/>
      <c r="J34" s="82" t="n"/>
      <c r="K34" s="82" t="n"/>
      <c r="L34" s="1" t="n"/>
    </row>
    <row r="35" ht="14.5" customHeight="1">
      <c r="A35" s="1" t="n"/>
      <c r="B35" s="81" t="n"/>
      <c r="C35" s="81" t="n"/>
      <c r="D35" s="81" t="n"/>
      <c r="E35" s="81" t="n"/>
      <c r="F35" s="81" t="n"/>
      <c r="G35" s="82" t="n"/>
      <c r="H35" s="82" t="n"/>
      <c r="I35" s="82" t="n"/>
      <c r="J35" s="82" t="n"/>
      <c r="K35" s="82" t="n"/>
      <c r="L35" s="1" t="n"/>
    </row>
    <row r="36" ht="14.5" customHeight="1">
      <c r="A36" s="1" t="n"/>
      <c r="B36" s="81" t="n"/>
      <c r="C36" s="81" t="n"/>
      <c r="D36" s="81" t="n"/>
      <c r="E36" s="81" t="n"/>
      <c r="F36" s="81" t="n"/>
      <c r="G36" s="82" t="n"/>
      <c r="H36" s="82" t="n"/>
      <c r="I36" s="82" t="n"/>
      <c r="J36" s="82" t="n"/>
      <c r="K36" s="82" t="n"/>
      <c r="L36" s="1" t="n"/>
    </row>
    <row r="37" ht="14.5" customHeight="1">
      <c r="A37" s="1" t="n"/>
      <c r="B37" s="81" t="n"/>
      <c r="C37" s="81" t="n"/>
      <c r="D37" s="81" t="n"/>
      <c r="E37" s="81" t="n"/>
      <c r="F37" s="81" t="n"/>
      <c r="G37" s="82" t="n"/>
      <c r="H37" s="82" t="n"/>
      <c r="I37" s="82" t="n"/>
      <c r="J37" s="82" t="n"/>
      <c r="K37" s="82" t="n"/>
      <c r="L37" s="1" t="n"/>
    </row>
    <row r="38" ht="14.5" customHeight="1">
      <c r="A38" s="1" t="n"/>
      <c r="B38" s="81" t="n"/>
      <c r="C38" s="81" t="n"/>
      <c r="D38" s="81" t="n"/>
      <c r="E38" s="81" t="n"/>
      <c r="F38" s="81" t="n"/>
      <c r="G38" s="82" t="n"/>
      <c r="H38" s="82" t="n"/>
      <c r="I38" s="82" t="n"/>
      <c r="J38" s="82" t="n"/>
      <c r="K38" s="82" t="n"/>
      <c r="L38" s="1" t="n"/>
    </row>
    <row r="39" ht="14.5" customHeight="1">
      <c r="A39" s="1" t="n"/>
      <c r="B39" s="81" t="n"/>
      <c r="C39" s="81" t="n"/>
      <c r="D39" s="81" t="n"/>
      <c r="E39" s="81" t="n"/>
      <c r="F39" s="81" t="n"/>
      <c r="G39" s="82" t="n"/>
      <c r="H39" s="82" t="n"/>
      <c r="I39" s="82" t="n"/>
      <c r="J39" s="82" t="n"/>
      <c r="K39" s="82" t="n"/>
      <c r="L39" s="1" t="n"/>
    </row>
    <row r="40" ht="14.5" customHeight="1">
      <c r="A40" s="1" t="n"/>
      <c r="B40" s="81" t="n"/>
      <c r="C40" s="81" t="n"/>
      <c r="D40" s="81" t="n"/>
      <c r="E40" s="81" t="n"/>
      <c r="F40" s="81" t="n"/>
      <c r="G40" s="82" t="n"/>
      <c r="H40" s="82" t="n"/>
      <c r="I40" s="82" t="n"/>
      <c r="J40" s="82" t="n"/>
      <c r="K40" s="82" t="n"/>
      <c r="L40" s="1" t="n"/>
    </row>
    <row r="41" ht="14.5" customHeight="1">
      <c r="A41" s="1" t="n"/>
      <c r="B41" s="81" t="n"/>
      <c r="C41" s="81" t="n"/>
      <c r="D41" s="81" t="n"/>
      <c r="E41" s="81" t="n"/>
      <c r="F41" s="81" t="n"/>
      <c r="G41" s="82" t="n"/>
      <c r="H41" s="82" t="n"/>
      <c r="I41" s="82" t="n"/>
      <c r="J41" s="82" t="n"/>
      <c r="K41" s="82" t="n"/>
      <c r="L41" s="1" t="n"/>
    </row>
    <row r="42" ht="14.5" customHeight="1">
      <c r="A42" s="1" t="n"/>
      <c r="B42" s="81" t="n"/>
      <c r="C42" s="81" t="n"/>
      <c r="D42" s="81" t="n"/>
      <c r="E42" s="81" t="n"/>
      <c r="F42" s="81" t="n"/>
      <c r="G42" s="82" t="n"/>
      <c r="H42" s="82" t="n"/>
      <c r="I42" s="82" t="n"/>
      <c r="J42" s="82" t="n"/>
      <c r="K42" s="82" t="n"/>
      <c r="L42" s="1" t="n"/>
    </row>
    <row r="43" ht="14.5" customHeight="1">
      <c r="A43" s="1" t="n"/>
      <c r="B43" s="81" t="n"/>
      <c r="C43" s="81" t="n"/>
      <c r="D43" s="81" t="n"/>
      <c r="E43" s="81" t="n"/>
      <c r="F43" s="81" t="n"/>
      <c r="G43" s="82" t="n"/>
      <c r="H43" s="82" t="n"/>
      <c r="I43" s="82" t="n"/>
      <c r="J43" s="82" t="n"/>
      <c r="K43" s="82" t="n"/>
      <c r="L43" s="1" t="n"/>
    </row>
    <row r="44" ht="14.5" customHeight="1">
      <c r="A44" s="1" t="n"/>
      <c r="B44" s="81" t="n"/>
      <c r="C44" s="81" t="n"/>
      <c r="D44" s="81" t="n"/>
      <c r="E44" s="81" t="n"/>
      <c r="F44" s="81" t="n"/>
      <c r="G44" s="82" t="n"/>
      <c r="H44" s="82" t="n"/>
      <c r="I44" s="82" t="n"/>
      <c r="J44" s="82" t="n"/>
      <c r="K44" s="82" t="n"/>
      <c r="L44" s="1" t="n"/>
    </row>
    <row r="45" ht="14.5" customHeight="1">
      <c r="A45" s="1" t="n"/>
      <c r="B45" s="81" t="n"/>
      <c r="C45" s="81" t="n"/>
      <c r="D45" s="81" t="n"/>
      <c r="E45" s="81" t="n"/>
      <c r="F45" s="81" t="n"/>
      <c r="G45" s="82" t="n"/>
      <c r="H45" s="82" t="n"/>
      <c r="I45" s="82" t="n"/>
      <c r="J45" s="82" t="n"/>
      <c r="K45" s="82" t="n"/>
      <c r="L45" s="1" t="n"/>
    </row>
    <row r="46" ht="14.5" customHeight="1">
      <c r="A46" s="1" t="n"/>
      <c r="B46" s="81" t="n"/>
      <c r="C46" s="81" t="n"/>
      <c r="D46" s="81" t="n"/>
      <c r="E46" s="81" t="n"/>
      <c r="F46" s="81" t="n"/>
      <c r="G46" s="82" t="n"/>
      <c r="H46" s="82" t="n"/>
      <c r="I46" s="82" t="n"/>
      <c r="J46" s="82" t="n"/>
      <c r="K46" s="82" t="n"/>
      <c r="L46" s="1" t="n"/>
    </row>
    <row r="47" ht="14.5" customHeight="1">
      <c r="A47" s="1" t="n"/>
      <c r="B47" s="81" t="n"/>
      <c r="C47" s="81" t="n"/>
      <c r="D47" s="81" t="n"/>
      <c r="E47" s="81" t="n"/>
      <c r="F47" s="81" t="n"/>
      <c r="G47" s="82" t="n"/>
      <c r="H47" s="82" t="n"/>
      <c r="I47" s="82" t="n"/>
      <c r="J47" s="82" t="n"/>
      <c r="K47" s="82" t="n"/>
      <c r="L47" s="1" t="n"/>
    </row>
    <row r="48" ht="14.5" customHeight="1">
      <c r="A48" s="1" t="n"/>
      <c r="B48" s="81" t="n"/>
      <c r="C48" s="81" t="n"/>
      <c r="D48" s="81" t="n"/>
      <c r="E48" s="81" t="n"/>
      <c r="F48" s="81" t="n"/>
      <c r="G48" s="82" t="n"/>
      <c r="H48" s="82" t="n"/>
      <c r="I48" s="82" t="n"/>
      <c r="J48" s="82" t="n"/>
      <c r="K48" s="82" t="n"/>
      <c r="L48" s="1" t="n"/>
    </row>
    <row r="49" ht="14.5" customHeight="1">
      <c r="A49" s="1" t="n"/>
      <c r="B49" s="81" t="n"/>
      <c r="C49" s="81" t="n"/>
      <c r="D49" s="81" t="n"/>
      <c r="E49" s="81" t="n"/>
      <c r="F49" s="81" t="n"/>
      <c r="G49" s="82" t="n"/>
      <c r="H49" s="82" t="n"/>
      <c r="I49" s="82" t="n"/>
      <c r="J49" s="82" t="n"/>
      <c r="K49" s="82" t="n"/>
      <c r="L49" s="1" t="n"/>
    </row>
    <row r="50" ht="14.5" customHeight="1">
      <c r="A50" s="1" t="n"/>
      <c r="B50" s="81" t="n"/>
      <c r="C50" s="81" t="n"/>
      <c r="D50" s="81" t="n"/>
      <c r="E50" s="81" t="n"/>
      <c r="F50" s="81" t="n"/>
      <c r="G50" s="82" t="n"/>
      <c r="H50" s="82" t="n"/>
      <c r="I50" s="82" t="n"/>
      <c r="J50" s="82" t="n"/>
      <c r="K50" s="82" t="n"/>
      <c r="L50" s="1" t="n"/>
    </row>
    <row r="51" ht="16" customHeight="1">
      <c r="A51" s="1" t="n"/>
      <c r="B51" s="1" t="n"/>
      <c r="C51" s="1" t="n"/>
      <c r="D51" s="1" t="n"/>
      <c r="E51" s="1" t="n"/>
      <c r="F51" s="1" t="n"/>
      <c r="G51" s="1" t="n"/>
      <c r="H51" s="1" t="n"/>
      <c r="I51" s="1" t="n"/>
      <c r="J51" s="1" t="n"/>
      <c r="K51" s="1" t="n"/>
      <c r="L51" s="1" t="n"/>
    </row>
    <row r="52" ht="26" customHeight="1">
      <c r="A52" s="1" t="n"/>
      <c r="B52" s="69" t="inlineStr">
        <is>
          <t>Desarrollo detallado de cada bloque, en el mismo orden</t>
        </is>
      </c>
      <c r="C52" s="69" t="n"/>
      <c r="D52" s="69" t="n"/>
      <c r="E52" s="69" t="n"/>
      <c r="F52" s="69" t="n"/>
      <c r="G52" s="69" t="n"/>
      <c r="H52" s="69" t="n"/>
      <c r="I52" s="69" t="n"/>
      <c r="J52" s="69" t="n"/>
      <c r="K52" s="69" t="n"/>
      <c r="L52" s="1" t="n"/>
    </row>
    <row r="53" ht="27.19899999999999" customHeight="1">
      <c r="A53" s="1" t="n"/>
      <c r="B53" s="4" t="inlineStr">
        <is>
          <t>El lienzo resume en pocas líneas. Esta sección explica cada bloque con el detalle, las cifras y las decisiones que hay detrás. Se mantiene la misma numeración.</t>
        </is>
      </c>
      <c r="C53" s="4" t="n"/>
      <c r="D53" s="4" t="n"/>
      <c r="E53" s="4" t="n"/>
      <c r="F53" s="4" t="n"/>
      <c r="G53" s="4" t="n"/>
      <c r="H53" s="4" t="n"/>
      <c r="I53" s="4" t="n"/>
      <c r="J53" s="4" t="n"/>
      <c r="K53" s="4" t="n"/>
      <c r="L53" s="1" t="n"/>
    </row>
    <row r="54" ht="8" customHeight="1">
      <c r="A54" s="1" t="n"/>
      <c r="B54" s="1" t="n"/>
      <c r="C54" s="1" t="n"/>
      <c r="D54" s="1" t="n"/>
      <c r="E54" s="1" t="n"/>
      <c r="F54" s="1" t="n"/>
      <c r="G54" s="1" t="n"/>
      <c r="H54" s="1" t="n"/>
      <c r="I54" s="1" t="n"/>
      <c r="J54" s="1" t="n"/>
      <c r="K54" s="1" t="n"/>
      <c r="L54" s="1" t="n"/>
    </row>
    <row r="55" ht="26" customHeight="1">
      <c r="A55" s="1" t="n"/>
      <c r="B55" s="83" t="inlineStr">
        <is>
          <t>1 · PROPUESTA DE VALOR</t>
        </is>
      </c>
      <c r="C55" s="83" t="n"/>
      <c r="D55" s="83" t="n"/>
      <c r="E55" s="83" t="n"/>
      <c r="F55" s="83" t="n"/>
      <c r="G55" s="83" t="n"/>
      <c r="H55" s="83" t="n"/>
      <c r="I55" s="83" t="n"/>
      <c r="J55" s="83" t="n"/>
      <c r="K55" s="83" t="n"/>
      <c r="L55" s="1" t="n"/>
    </row>
    <row r="56" ht="409" customHeight="1">
      <c r="A56" s="1" t="n"/>
      <c r="B56" s="51" t="inlineStr">
        <is>
          <t>La frase que lo resume todo: le pagamos a las familias de Usme por separar la comida que botan, y con esa comida fabricamos el abono que hoy Colombia compra en el exterior.
POR QUÉ ESTA PROPUESTA Y NO OTRA
La mayoría de los programas de reciclaje le piden a la gente un favor: separe, por el planeta. Recoevo no pide un favor, hace un negocio. La familia entrega algo que no le sirve y recibe tres cosas concretas: una cocina sin olor, un aparato gratis y un reconocimiento en dinero cada mes. El argumento ambiental viene después, y es el que convence a la Alcaldía, no a la familia.
LO QUE RECIBE LA FAMILIA, EN DETALLE
El aparato muele los restos de comida al cerrar la tapa y les baja el volumen a la mitad. Un sello de caucho y un filtro de carbón le quitan el olor, que es la queja número uno de cualquier caneca de orgánicos. Un sensor pesa lo que hay adentro y avisa solo cuando está lleno, así que el camión llega cuando tiene que llegar y no antes. La familia no paga la instalación, no usa su internet porque el aparato tiene su propia antena, y el consumo de luz es de $173 al mes en estrato 1 y $216 en estrato 2, menos que un pasaje de TransMilenio cada cuatro meses. A cambio de separar bien, acumula puntos que valen hasta $1,500 al mes abonados a su factura de acueducto, es decir $18,000 al año. Sumado a las bolsas, el carbón y el material seco que recibe sin pagar, el paquete vale $35,300 al año, un 22 % de lo que esa familia paga por todo el servicio de aseo. Y además se queda con un aparato de $258,044.
LO QUE RECIBE BOGOTÁ
Bogotá se obligó a sí misma, por decreto, a tratar al menos el 20 % de los residuos orgánicos que hoy entierra. Hoy trata el 0.03 %. No es un problema de voluntad: no existe la infraestructura ni la ruta. Recoevo le entrega toneladas contadas casa por casa, con soporte para auditoría, que cuentan directamente para esa meta y para la de emisiones de 2027. Y cada tonelada desviada le ahorra $41,190, porque hoy gasta $191,190 en recolección, disposición final y tratamiento de lixiviados, y el programa le cobra $150,000 por prestar esos mismos servicios y devolverle abono.
LO QUE RECIBE EL CAMPESINO
Aquí hay que ser honestos, porque una promesa exagerada se cae en la primera cosecha. El abono orgánico no reemplaza a la urea como fuente de nitrógeno: por kilo de nitrógeno cuesta casi cuatro veces más. Lo que sí hace, y la urea no, es devolverle materia orgánica al suelo. El 80.3 % de las tierras de Cundinamarca está erosionado, el doble del promedio nacional, y la causa es precisamente que se fertiliza sin reponer materia orgánica. Además el precio del abono es mucho más estable: mientras la urea triplicó su precio entre 2021 y 2022 y volvió a subir 36 % este año, el abono orgánico se movió la mitad. Al campesino le vendemos estabilidad y suelo, no sustitución.
POR QUÉ ES DIFÍCIL DE COPIAR
Hay que resolver tres problemas al mismo tiempo, y cada uno tumba un proyecto por separado: que el aparato no huela dentro de la casa, que avise sin usar el internet ni el bolsillo de la familia, y que el abono cumpla la norma técnica del ICA para poder venderse. Las compostadoras que se venden en el mundo resuelven el olor con calor, y eso dispara el recibo de la luz. Nosotros lo resolvemos con sellado y filtro, que cuesta $22,900 y no consume casi nada.</t>
        </is>
      </c>
      <c r="C56" s="51" t="n"/>
      <c r="D56" s="51" t="n"/>
      <c r="E56" s="51" t="n"/>
      <c r="F56" s="51" t="n"/>
      <c r="G56" s="51" t="n"/>
      <c r="H56" s="51" t="n"/>
      <c r="I56" s="51" t="n"/>
      <c r="J56" s="51" t="n"/>
      <c r="K56" s="51" t="n"/>
      <c r="L56" s="1" t="n"/>
    </row>
    <row r="57" ht="10" customHeight="1">
      <c r="A57" s="1" t="n"/>
      <c r="B57" s="1" t="n"/>
      <c r="C57" s="1" t="n"/>
      <c r="D57" s="1" t="n"/>
      <c r="E57" s="1" t="n"/>
      <c r="F57" s="1" t="n"/>
      <c r="G57" s="1" t="n"/>
      <c r="H57" s="1" t="n"/>
      <c r="I57" s="1" t="n"/>
      <c r="J57" s="1" t="n"/>
      <c r="K57" s="1" t="n"/>
      <c r="L57" s="1" t="n"/>
    </row>
    <row r="58" ht="26" customHeight="1">
      <c r="A58" s="1" t="n"/>
      <c r="B58" s="84" t="inlineStr">
        <is>
          <t>2 · SEGMENTOS DE CLIENTES</t>
        </is>
      </c>
      <c r="C58" s="84" t="n"/>
      <c r="D58" s="84" t="n"/>
      <c r="E58" s="84" t="n"/>
      <c r="F58" s="84" t="n"/>
      <c r="G58" s="84" t="n"/>
      <c r="H58" s="84" t="n"/>
      <c r="I58" s="84" t="n"/>
      <c r="J58" s="84" t="n"/>
      <c r="K58" s="84" t="n"/>
      <c r="L58" s="1" t="n"/>
    </row>
    <row r="59" ht="369.399" customHeight="1">
      <c r="A59" s="1" t="n"/>
      <c r="B59" s="85" t="inlineStr">
        <is>
          <t>La característica que define este negocio: quien recibe el servicio no es quien lo paga. Confundir los dos grupos es el error que más veces ha hecho fracasar este tipo de proyectos.
EL USUARIO 1: 12,000 HOGARES DE USME
Estratos 1 y 2, sin excepción, porque en Usme no hay manzanas de estrato 3 o superior. Es la localidad con más pobreza monetaria de Bogotá, 57.81 %, con 55.7 % de informalidad laboral. Se empieza por las UPZ Gran Yomasa y Comuneros, que juntas tienen 239,502 habitantes, el 57.7 % de la localidad, lo que permite una ruta compacta.
Dentro de esas UPZ se prioriza vivienda multifamiliar antes que casa suelta, y esto tiene una razón medida: en Corea del Sur el mismo sistema alcanzó 81.6 % de cobertura en apartamentos y solo 37.9 % en el conjunto de tipos de vivienda. Cuando el contenedor es compartido y el vecino ve, la gente separa mejor. No es una apreciación moral sino una decisión de diseño.
Estas familias no pagan y no deben pagar. Un hogar de estrato 1 paga $10,517 al mes de aseo, y la parte de ese recibo que Recoevo puede reducir son $2,405. No hay negocio ahí.
CLIENTE QUE PAGA 1 · EL DISTRITO CAPITAL
La UAESP y el Fondo de Desarrollo Local de Usme. Compran toneladas tratadas y cumplimiento de meta. Es el cliente ancla del proyecto: sin él no hay programa.
CLIENTE QUE PAGA 2 · GRANDES GENERADORES DE USME
Colegios distritales, plazas de mercado, comedores comunitarios, restaurantes y hoteles. Este segmento es el que vuelve viable el negocio, y por eso se planea desde el primer día y no como una ampliación posterior. Aquí el residuo está concentrado, una sola parada rinde cientos de kilos, no hay que regalar aparatos y el generador ya está pagando una tarifa de aseo alta: un gran productor con aforo paga $148,996 al mes. Existe precedente probado en la ciudad: la ruta de plazas de mercado de Bogotá ya mueve más de 71 toneladas mensuales.
CLIENTE QUE PAGA 3 · AGRICULTORES DE LA SABANA
La Sabana sembró 76,626 hectáreas en 2025, de las cuales 58,087 son de papa, el cultivo que más fertilizante consume. Los municipios objetivo son Villapinzón y Tausa, que juntos suman 32,165 hectáreas sembradas, más Chocontá, Subachoque y Zipaquirá. La floricultura, con 7,504 hectáreas en Cundinamarca, es un segundo mercado que paga más por producto de mejor calidad.
CLIENTE QUE PAGA 4 · EMPRESAS PADRINO
Financian los aparatos de familias que no pueden comprarlos. Reciben impacto medible y auditable, y el descuento del 25 % del artículo 257 del Estatuto Tributario si la donación se canaliza por una entidad sin ánimo de lucro.</t>
        </is>
      </c>
      <c r="C59" s="85" t="n"/>
      <c r="D59" s="85" t="n"/>
      <c r="E59" s="85" t="n"/>
      <c r="F59" s="85" t="n"/>
      <c r="G59" s="85" t="n"/>
      <c r="H59" s="85" t="n"/>
      <c r="I59" s="85" t="n"/>
      <c r="J59" s="85" t="n"/>
      <c r="K59" s="85" t="n"/>
      <c r="L59" s="1" t="n"/>
    </row>
    <row r="60" ht="10" customHeight="1">
      <c r="A60" s="1" t="n"/>
      <c r="B60" s="1" t="n"/>
      <c r="C60" s="1" t="n"/>
      <c r="D60" s="1" t="n"/>
      <c r="E60" s="1" t="n"/>
      <c r="F60" s="1" t="n"/>
      <c r="G60" s="1" t="n"/>
      <c r="H60" s="1" t="n"/>
      <c r="I60" s="1" t="n"/>
      <c r="J60" s="1" t="n"/>
      <c r="K60" s="1" t="n"/>
      <c r="L60" s="1" t="n"/>
    </row>
    <row r="61" ht="26" customHeight="1">
      <c r="A61" s="1" t="n"/>
      <c r="B61" s="55" t="inlineStr">
        <is>
          <t>3 · CANALES</t>
        </is>
      </c>
      <c r="C61" s="55" t="n"/>
      <c r="D61" s="55" t="n"/>
      <c r="E61" s="55" t="n"/>
      <c r="F61" s="55" t="n"/>
      <c r="G61" s="55" t="n"/>
      <c r="H61" s="55" t="n"/>
      <c r="I61" s="55" t="n"/>
      <c r="J61" s="55" t="n"/>
      <c r="K61" s="55" t="n"/>
      <c r="L61" s="1" t="n"/>
    </row>
    <row r="62" ht="288.1265" customHeight="1">
      <c r="A62" s="1" t="n"/>
      <c r="B62" s="56" t="inlineStr">
        <is>
          <t>Un canal es cómo llega el producto al cliente. Como hay varios clientes distintos, hay varios canales distintos, y conviene no mezclarlos.
CANAL PARA CONSEGUIR FAMILIAS
La puerta de entrada son las Juntas de Acción Comunal y los administradores de conjuntos residenciales. En barrios de origen informal, la JAC es la autoridad que la gente reconoce; sin su aval no se abre una puerta. La focalización se apoya en la Alcaldía Local, que ya tiene a la población identificada por Sisbén: en Usme hay 319,115 personas registradas. La conversión ocurre en jornadas de instalación en el barrio, con el aparato funcionando a la vista, porque nadie acepta meter en su cocina algo que no ha visto operar.
CANAL PARA SOSTENER LA RELACIÓN
La ruta de recolección es el canal más importante de todo el modelo y es fácil subestimarlo. El operario pasa cada semana, cambia el filtro, deja las bolsas, pesa y confirma los puntos. Es simultáneamente logística, servicio al cliente, control de calidad y presencia de marca. Ningún canal digital lo reemplaza en un territorio con brecha de conectividad.
El canal digital es WhatsApp, no una aplicación propia. Exigirle a una familia de estrato 1 que instale una app y gaste datos es agregar una barrera gratuita.
CANAL PARA VENDER EL ABONO
Tres vías, de mayor a menor volumen: venta directa a granel en finca y por asociaciones de productores, que es donde está el volumen; almacenes agropecuarios de la Sabana para el producto empacado; y contratos con el Distrito para arbolado urbano, parques y huertas. Esta tercera vía hoy no existe porque, como reconoce el propio PGIRS, no hay una política de compras públicas sostenibles que priorice estos productos. El PGIRS se propone crearla, y ahí hay una oportunidad de incidencia.
CANAL PARA LOS CLIENTES INSTITUCIONALES
Venta directa, cara a cara, con cifras. Un rector o un administrador de plaza decide rápido si se le muestra cuánto paga hoy y cuánto pagaría. Es el ciclo de venta más corto del modelo.</t>
        </is>
      </c>
      <c r="C62" s="56" t="n"/>
      <c r="D62" s="56" t="n"/>
      <c r="E62" s="56" t="n"/>
      <c r="F62" s="56" t="n"/>
      <c r="G62" s="56" t="n"/>
      <c r="H62" s="56" t="n"/>
      <c r="I62" s="56" t="n"/>
      <c r="J62" s="56" t="n"/>
      <c r="K62" s="56" t="n"/>
      <c r="L62" s="1" t="n"/>
    </row>
    <row r="63" ht="10" customHeight="1">
      <c r="A63" s="1" t="n"/>
      <c r="B63" s="1" t="n"/>
      <c r="C63" s="1" t="n"/>
      <c r="D63" s="1" t="n"/>
      <c r="E63" s="1" t="n"/>
      <c r="F63" s="1" t="n"/>
      <c r="G63" s="1" t="n"/>
      <c r="H63" s="1" t="n"/>
      <c r="I63" s="1" t="n"/>
      <c r="J63" s="1" t="n"/>
      <c r="K63" s="1" t="n"/>
      <c r="L63" s="1" t="n"/>
    </row>
    <row r="64" ht="26" customHeight="1">
      <c r="A64" s="1" t="n"/>
      <c r="B64" s="55" t="inlineStr">
        <is>
          <t>4 · RELACIÓN CON LOS CLIENTES</t>
        </is>
      </c>
      <c r="C64" s="55" t="n"/>
      <c r="D64" s="55" t="n"/>
      <c r="E64" s="55" t="n"/>
      <c r="F64" s="55" t="n"/>
      <c r="G64" s="55" t="n"/>
      <c r="H64" s="55" t="n"/>
      <c r="I64" s="55" t="n"/>
      <c r="J64" s="55" t="n"/>
      <c r="K64" s="55" t="n"/>
      <c r="L64" s="1" t="n"/>
    </row>
    <row r="65" ht="369.399" customHeight="1">
      <c r="A65" s="1" t="n"/>
      <c r="B65" s="56" t="inlineStr">
        <is>
          <t>El principio que gobierna todo este bloque: acompañar, no vigilar. Y una advertencia que sale de la evidencia internacional y que obligó a rediseñar el incentivo.
LA ADVERTENCIA
Corea del Sur pasó de reciclar el 2.6 % de sus residuos de comida en 1996 al 97.5 % en 2022. Lo logró cobrando por peso, no premiando. San Francisco superó el 80 % de desvío con una ordenanza que obliga a separar. Milán llegó a más de 90 kilos por habitante al año con recolección puerta a puerta frecuente. En los tres casos el motor fue la obligatoriedad, la comodidad y ver el resultado al instante, no el tamaño del premio. El incentivo en dinero de Recoevo vale $1,500 al mes: es un apoyo real, pero no es lo que va a cambiar una costumbre diaria. Hay que diseñarlo como refuerzo, no como motor.
MOMENTO 1 · LA INSTALACIÓN
Se instala el aparato, se muestra cómo funciona, se entrega el carné con código QR y chip, y se deja el primer kit de bolsas y estructurante. Nadie separa bien si nadie le explicó: esta visita define el comportamiento de los meses siguientes.
MOMENTO 2 · CADA SEMANA
El operario pasa, escanea el carné, valida el peso que registró la máquina, revisa que no haya plástico ni vidrio y confirma los puntos. Ese contacto semanal, cara a cara, es lo que sostiene el hábito.
MOMENTO 3 · CADA VEZ QUE SE USA
El aparato muestra el peso depositado y los puntos ganados en el momento de cerrar la tapa. Esto replica exactamente el mecanismo coreano: la máquina pesa y muestra el resultado en el acto.
MOMENTO 4 · CUANDO SALE MAL
El régimen es gradual y a propósito. Primera vez: advertencia y acompañamiento en sitio, porque la mayoría de los errores son por desconocimiento. Si reincide: baja progresiva de la tasa de puntos hasta que mejore, verificada en dos ciclos. Retiro del equipo: solo para equipos prestados del plan piloto, solo tras reincidencia sostenida, con notificación previa y posibilidad de reingreso. Si el equipo es propiedad de la familia no se retira nunca; solo se reduce la tasa de puntos.
MOMENTO 5 · CON EL BARRIO
Rendición de cuentas trimestral en asamblea: cuántas toneladas sacó el barrio, cuánto recibieron las familias, cómo va frente a la cuadra vecina. La norma social del vecindario es más efectiva que cualquier campaña publicitaria, y no tiene costo.</t>
        </is>
      </c>
      <c r="C65" s="56" t="n"/>
      <c r="D65" s="56" t="n"/>
      <c r="E65" s="56" t="n"/>
      <c r="F65" s="56" t="n"/>
      <c r="G65" s="56" t="n"/>
      <c r="H65" s="56" t="n"/>
      <c r="I65" s="56" t="n"/>
      <c r="J65" s="56" t="n"/>
      <c r="K65" s="56" t="n"/>
      <c r="L65" s="1" t="n"/>
    </row>
    <row r="66" ht="10" customHeight="1">
      <c r="A66" s="1" t="n"/>
      <c r="B66" s="1" t="n"/>
      <c r="C66" s="1" t="n"/>
      <c r="D66" s="1" t="n"/>
      <c r="E66" s="1" t="n"/>
      <c r="F66" s="1" t="n"/>
      <c r="G66" s="1" t="n"/>
      <c r="H66" s="1" t="n"/>
      <c r="I66" s="1" t="n"/>
      <c r="J66" s="1" t="n"/>
      <c r="K66" s="1" t="n"/>
      <c r="L66" s="1" t="n"/>
    </row>
    <row r="67" ht="26" customHeight="1">
      <c r="A67" s="1" t="n"/>
      <c r="B67" s="86" t="inlineStr">
        <is>
          <t>5 · FUENTES DE INGRESOS</t>
        </is>
      </c>
      <c r="C67" s="86" t="n"/>
      <c r="D67" s="86" t="n"/>
      <c r="E67" s="86" t="n"/>
      <c r="F67" s="86" t="n"/>
      <c r="G67" s="86" t="n"/>
      <c r="H67" s="86" t="n"/>
      <c r="I67" s="86" t="n"/>
      <c r="J67" s="86" t="n"/>
      <c r="K67" s="86" t="n"/>
      <c r="L67" s="1" t="n"/>
    </row>
    <row r="68" ht="401.908" customHeight="1">
      <c r="A68" s="1" t="n"/>
      <c r="B68" s="87" t="inlineStr">
        <is>
          <t>Cinco fuentes, de la más segura a la más incierta. Se presentan en ese orden a propósito, porque construir un plan sobre la más incierta sería un error de método. Conviene advertir desde ya que el proyecto costeado en este trabajo incluye únicamente las fuentes 1 y 3, que son las que dependen solo de los hogares. Las demás se describen porque hacen parte del modelo de negocio, pero no están en las cuentas.
FUENTE 1 · CONTRATO DE RECOLECCIÓN Y TRATAMIENTO CON EL DISTRITO — $150,000 POR TONELADA
El Distrito paga por cada tonelada domiciliaria recogida, tratada y verificada. El precio se fija deliberadamente por debajo de los $191,190 que hoy le cuesta esa misma tonelada entre recolección y transporte, $124,696; disposición en el relleno, $45,541; y tratamiento de lixiviados, $20,953. El ahorro para la ciudad es de $41,190 por tonelada, un 21.5 %: es un argumento de venta, no una concesión. Es la fuente ancla del proyecto y está incluida en el costeo.
FUENTE 2 · TARIFA DE RECEPCIÓN DE GRANDES GENERADORES — $100,000 POR TONELADA (NO COSTEADA)
Colegios, plazas, comedores y restaurantes pagarían por que les recojan sus residuos de comida. No exige regalar aparatos, el residuo llega concentrado y limpio, una sola parada rinde cientos de kilos y el generador ya paga una tarifa de aseo alta, de modo que sería el ingreso de mayor margen. Se deja explícitamente FUERA del proyecto y de sus cuentas, porque atender grandes generadores es una operación de otra naturaleza que habría que formular y costear aparte. Se menciona aquí porque es la palanca que más cambiaría el resultado si algún día se decide.
FUENTE 3 · VENTA DEL ABONO — ENTRE $250,000 Y $700,000 POR TONELADA
No es un solo producto sino tres, y esa es la diferencia entre perder y ganar dinero. Compost a granel para papa y pasto a $250,000 la tonelada, que es el piso del mercado. Humus de lombriz para cultivos finos y floricultura, que se paga cerca de $395,000. Y producto empacado para jardinería urbana, que se paga entre $650,000 y $800,000 aunque absorbe poco volumen. Vender solo lo primero es renunciar a ingresos sobre la mesa.
FUENTE 4 · CRÉDITOS DE CARBONO — $29,070 POR TONELADA DE CO₂ EVITADA
La metodología aplicable es la CDM AMS-III.F, de evitación de metano por compostaje, con un factor de entre 0.3 y 1.5 toneladas de CO₂ por tonelada desviada. Dos advertencias: certificar cuesta entre 15,000 y 50,000 dólares, así que por debajo de 20 toneladas diarias el costo supera al ingreso; y como Doña Juana ya captura biogás, parte de ese metano ya se estaba capturando, lo que recorta el crédito.
FUENTE 5 · APORTES DE INVERSIÓN: EL INCENTIVO AL TRATAMIENTO Y EL LOTE DISTRITAL
No es un ingreso de operación sino una reducción de la inversión y del gasto fijo, y por eso va al final. El Decreto 2412 de 2018 creó el Incentivo al Aprovechamiento y Tratamiento, un fondo que se nutre de la tarifa de disposición final y que financia infraestructura de tratamiento; en Bogotá asciende a unos $34,600 millones anuales. A eso se suma la posibilidad de que el Distrito aporte el lote de la planta en una localidad que tiene 18,500 hectáreas rurales, lo que libera varios cientos de millones al año de arriendo. Ninguna de las dos cosas es un ingreso por tonelada, pero ambas cambian el punto de equilibrio y por eso se declaran aquí en vez de esconderlas en la inversión.</t>
        </is>
      </c>
      <c r="C68" s="87" t="n"/>
      <c r="D68" s="87" t="n"/>
      <c r="E68" s="87" t="n"/>
      <c r="F68" s="87" t="n"/>
      <c r="G68" s="87" t="n"/>
      <c r="H68" s="87" t="n"/>
      <c r="I68" s="87" t="n"/>
      <c r="J68" s="87" t="n"/>
      <c r="K68" s="87" t="n"/>
      <c r="L68" s="1" t="n"/>
    </row>
    <row r="69" ht="10" customHeight="1">
      <c r="A69" s="1" t="n"/>
      <c r="B69" s="1" t="n"/>
      <c r="C69" s="1" t="n"/>
      <c r="D69" s="1" t="n"/>
      <c r="E69" s="1" t="n"/>
      <c r="F69" s="1" t="n"/>
      <c r="G69" s="1" t="n"/>
      <c r="H69" s="1" t="n"/>
      <c r="I69" s="1" t="n"/>
      <c r="J69" s="1" t="n"/>
      <c r="K69" s="1" t="n"/>
      <c r="L69" s="1" t="n"/>
    </row>
    <row r="70" ht="26" customHeight="1">
      <c r="A70" s="1" t="n"/>
      <c r="B70" s="14" t="inlineStr">
        <is>
          <t>6 · RECURSOS CLAVE</t>
        </is>
      </c>
      <c r="C70" s="14" t="n"/>
      <c r="D70" s="14" t="n"/>
      <c r="E70" s="14" t="n"/>
      <c r="F70" s="14" t="n"/>
      <c r="G70" s="14" t="n"/>
      <c r="H70" s="14" t="n"/>
      <c r="I70" s="14" t="n"/>
      <c r="J70" s="14" t="n"/>
      <c r="K70" s="14" t="n"/>
      <c r="L70" s="1" t="n"/>
    </row>
    <row r="71" ht="401.908" customHeight="1">
      <c r="A71" s="1" t="n"/>
      <c r="B71" s="65" t="inlineStr">
        <is>
          <t>Los activos sin los cuales el modelo no opera, ordenados por lo difícil que es para un competidor conseguirlos.
EL PARQUE DE APARATOS INSTALADOS
Es el activo principal y la barrera de entrada más sólida. Una vez la familia tiene el equipo en la cocina, ha aprendido a usarlo y acumula puntos, el costo de cambiarse es alto. Es también el activo más caro: $258,044 por unidad en pedidos de diez mil, que es la escala prevista, frente a $1,106,576 en pedidos de cien.
LA RED PROPIA DE ANTENAS
Estaciones base instaladas en colegios distritales, estaciones del TransMiCable, salones comunales y tanques del acueducto: sitios altos, con energía, con vigilancia y sin costo de arriendo por tratarse de un programa distrital. Cuesta entre 0.41 y 2.22 dólares por aparato al año, frente a unos 18 de la alternativa comercial: 43 veces menos. Y el programa es dueño de su red durante los diez años de vida del proyecto, en vez de depender del precio que le ponga un operador de celular.
LOS DATOS
Este recurso es el menos evidente y probablemente el más valioso a largo plazo. Hoy ni la UAESP ni la Superintendencia publican toneladas por localidad, porque la operación se reporta por Área de Servicio Exclusivo. Recoevo generaría el primer conjunto de información real de generación de residuos orgánicos por hogar, por manzana y por día de Usme. Eso tiene valor propio para la planeación de la ciudad y refuerza la posición negociadora frente al cliente ancla.
LA PLANTA CON SUS PERMISOS
No basta con tener una planta: hace falta el permiso ambiental de la Secretaría Distrital de Ambiente o de la CAR según dónde quede, y el registro de venta ante el ICA, que exige cumplir la norma NTC 5167 en materia orgánica, humedad, pH, relación carbono-nitrógeno, metales pesados y ausencia de patógenos. Sin registro no se puede vender abono legalmente.
LA ALIANZA CON LOS RECICLADORES
Es un recurso, no solo un socio, porque es la llave jurídica que habilita el ingreso por tarifa.
EL EQUIPO HUMANO
Hacen falta tres perfiles que rara vez conviven en una misma organización: ingeniería de producto para el aparato, operación logística para la ruta y la planta, y trabajo social de campo para el acompañamiento. Descuidar el tercero es el error clásico de los proyectos de base tecnológica.</t>
        </is>
      </c>
      <c r="C71" s="65" t="n"/>
      <c r="D71" s="65" t="n"/>
      <c r="E71" s="65" t="n"/>
      <c r="F71" s="65" t="n"/>
      <c r="G71" s="65" t="n"/>
      <c r="H71" s="65" t="n"/>
      <c r="I71" s="65" t="n"/>
      <c r="J71" s="65" t="n"/>
      <c r="K71" s="65" t="n"/>
      <c r="L71" s="1" t="n"/>
    </row>
    <row r="72" ht="10" customHeight="1">
      <c r="A72" s="1" t="n"/>
      <c r="B72" s="1" t="n"/>
      <c r="C72" s="1" t="n"/>
      <c r="D72" s="1" t="n"/>
      <c r="E72" s="1" t="n"/>
      <c r="F72" s="1" t="n"/>
      <c r="G72" s="1" t="n"/>
      <c r="H72" s="1" t="n"/>
      <c r="I72" s="1" t="n"/>
      <c r="J72" s="1" t="n"/>
      <c r="K72" s="1" t="n"/>
      <c r="L72" s="1" t="n"/>
    </row>
    <row r="73" ht="26" customHeight="1">
      <c r="A73" s="1" t="n"/>
      <c r="B73" s="14" t="inlineStr">
        <is>
          <t>7 · ACTIVIDADES CLAVE</t>
        </is>
      </c>
      <c r="C73" s="14" t="n"/>
      <c r="D73" s="14" t="n"/>
      <c r="E73" s="14" t="n"/>
      <c r="F73" s="14" t="n"/>
      <c r="G73" s="14" t="n"/>
      <c r="H73" s="14" t="n"/>
      <c r="I73" s="14" t="n"/>
      <c r="J73" s="14" t="n"/>
      <c r="K73" s="14" t="n"/>
      <c r="L73" s="1" t="n"/>
    </row>
    <row r="74" ht="369.399" customHeight="1">
      <c r="A74" s="1" t="n"/>
      <c r="B74" s="65" t="inlineStr">
        <is>
          <t>Lo que la organización hace todos los días. Son cuatro procesos distintos más uno que no suele aparecer en un Canvas y que aquí es decisivo.
FABRICAR Y ARMAR
Las piezas plásticas grandes se fabrican en Bogotá por rotomoldeo, porque son voluminosas y de poco valor: traerlas de China costaría más en flete de lo que se ahorra en precio. El motor, la electrónica y los sensores se importan. El armado final se hace en Colombia, lo que reduce el arancel, permite reparar el producto localmente y genera empleo, que es un argumento político decisivo para un programa con recursos públicos.
INSTALAR Y ENSEÑAR
Llevar el equipo a la casa, conectarlo, enseñar qué se puede echar y qué no, y entregar el carné. Es la actividad de la que depende la calidad del material que llegará a la planta seis meses después.
OPERAR LA TELEMETRÍA Y ARMAR LA RUTA
La plataforma recibe cuatro mensajes diarios por aparato, arma el mapa de llenado de la localidad y cada mañana calcula la ruta del día pasando únicamente por los contenedores que superaron el umbral. Sobre el ahorro que esto genera conviene ser prudente: los proveedores del sector publicitan reducciones del 86 %, pero comparan contra contenedores públicos muy mal gestionados. La evidencia académica revisada por pares reporta cerca del 16 %. Para recolección puerta a puerta el rango defendible es del 15 % al 30 %, y este trabajo usa 20 %.
RECOGER, PESAR Y VALIDAR
El operario escanea el carné del hogar, valida el peso contra el que registró la máquina, inspecciona visualmente el material y reporta incidencias con fotografía. La aplicación funciona sin conexión porque la cobertura celular en Usme es irregular.
TRANSFORMAR Y VENDER
Compostaje, volteo, maduración, análisis de laboratorio por lote, empaque y venta. El control de calidad en planta cierra el círculo: el porcentaje de rechazo de cada lote ajusta retroactivamente la puntuación de los hogares de esa microrruta.
LA QUINTA ACTIVIDAD · GESTIÓN REGULATORIA
Elevar la consulta a la CRA sobre la remuneración de orgánicos, obtener el registro ICA, tramitar el permiso ambiental, reportar las toneladas al Sistema Único de Información y participar en la discusión del nuevo acuerdo de subsidios del Concejo. No son trámites accesorios: son las actividades de las que depende que exista el ingreso.</t>
        </is>
      </c>
      <c r="C74" s="65" t="n"/>
      <c r="D74" s="65" t="n"/>
      <c r="E74" s="65" t="n"/>
      <c r="F74" s="65" t="n"/>
      <c r="G74" s="65" t="n"/>
      <c r="H74" s="65" t="n"/>
      <c r="I74" s="65" t="n"/>
      <c r="J74" s="65" t="n"/>
      <c r="K74" s="65" t="n"/>
      <c r="L74" s="1" t="n"/>
    </row>
    <row r="75" ht="10" customHeight="1">
      <c r="A75" s="1" t="n"/>
      <c r="B75" s="1" t="n"/>
      <c r="C75" s="1" t="n"/>
      <c r="D75" s="1" t="n"/>
      <c r="E75" s="1" t="n"/>
      <c r="F75" s="1" t="n"/>
      <c r="G75" s="1" t="n"/>
      <c r="H75" s="1" t="n"/>
      <c r="I75" s="1" t="n"/>
      <c r="J75" s="1" t="n"/>
      <c r="K75" s="1" t="n"/>
      <c r="L75" s="1" t="n"/>
    </row>
    <row r="76" ht="26" customHeight="1">
      <c r="A76" s="1" t="n"/>
      <c r="B76" s="84" t="inlineStr">
        <is>
          <t>8 · SOCIOS CLAVE</t>
        </is>
      </c>
      <c r="C76" s="84" t="n"/>
      <c r="D76" s="84" t="n"/>
      <c r="E76" s="84" t="n"/>
      <c r="F76" s="84" t="n"/>
      <c r="G76" s="84" t="n"/>
      <c r="H76" s="84" t="n"/>
      <c r="I76" s="84" t="n"/>
      <c r="J76" s="84" t="n"/>
      <c r="K76" s="84" t="n"/>
      <c r="L76" s="1" t="n"/>
    </row>
    <row r="77" ht="336.89" customHeight="1">
      <c r="A77" s="1" t="n"/>
      <c r="B77" s="85" t="inlineStr">
        <is>
          <t>Hay una diferencia importante entre un socio conveniente y un socio sin el cual el modelo no existe. Aquí hay tres del segundo tipo.
LOS RECICLADORES DE OFICIO: QUÉ DICE LA LEY Y POR QUÉ CONVIENE ALIARSE
Conviene precisar algo que suele confundirse. En Colombia el material reciclable seco —papel, cartón, vidrio, metal, plástico— se gestiona mediante la actividad de aprovechamiento, que el Decreto 596 de 2016 reserva a organizaciones constituidas en su totalidad por recicladores de oficio. Los residuos de comida corresponden a una actividad distinta, la de tratamiento, tal como lo establece el estudio elaborado por el Banco Mundial para el Ministerio de Vivienda, que precisa además que las organizaciones de recicladores se especializan en material inorgánico. Para operar con residuos orgánicos no se requiere legalmente su intermediación.
Aun así, aliarse con ellas es la decisión estratégicamente correcta por tres razones prácticas. Primera: ya tienen rutas de recolección establecidas en el territorio, y aprovecharlas es considerablemente más barato que construir una operación paralela, que es justamente el rubro que más encarece este negocio. Segunda: conocen el barrio casa por casa, un conocimiento que un operador nuevo no puede adquirir en el corto plazo. Y tercera: su participación alinea el proyecto con las acciones afirmativas ordenadas por la Corte Constitucional y promovidas expresamente por el PGIRS.
SOCIO IMPRESCINDIBLE 1 · LA UAESP
Es simultáneamente el regulador local, el comprador principal y el dueño de la meta que el proyecto ayuda a cumplir. Sin convenio con la UAESP no hay contrato de tratamiento ni reporte oficial de toneladas.
SOCIO IMPRESCINDIBLE 2 · LA ALCALDÍA LOCAL DE USME
Aporta los recursos del Fondo de Desarrollo Local, que es la fuente de financiación natural de un piloto territorial, y la focalización de beneficiarios. Y puede aportar algo aún más valioso: el lote para la planta. El arriendo de planta es uno de los tres gastos más pesados de la operación, y que el Distrito ponga suelo público convierte un costo recurrente en un aporte en especie.
SOCIOS QUE MEJORAN MUCHO EL MODELO
La EAAB, para el convenio que permite abonar el incentivo directamente a la cuenta contrato de la familia. AGROSAVIA, cuyo Centro de Investigación Tibaitatá está en Mosquera, en plena Sabana, para la validación agronómica sin la cual el campesino no compra. Las empresas padrino, que financian equipos y descuentan el 25 % de impuestos. Las asociaciones de paperos y floricultores, para vender sin intermediarios. Y los talleres de rotomoldeo de Bogotá, que fabrican las carcasas.</t>
        </is>
      </c>
      <c r="C77" s="85" t="n"/>
      <c r="D77" s="85" t="n"/>
      <c r="E77" s="85" t="n"/>
      <c r="F77" s="85" t="n"/>
      <c r="G77" s="85" t="n"/>
      <c r="H77" s="85" t="n"/>
      <c r="I77" s="85" t="n"/>
      <c r="J77" s="85" t="n"/>
      <c r="K77" s="85" t="n"/>
      <c r="L77" s="1" t="n"/>
    </row>
    <row r="78" ht="10" customHeight="1">
      <c r="A78" s="1" t="n"/>
      <c r="B78" s="1" t="n"/>
      <c r="C78" s="1" t="n"/>
      <c r="D78" s="1" t="n"/>
      <c r="E78" s="1" t="n"/>
      <c r="F78" s="1" t="n"/>
      <c r="G78" s="1" t="n"/>
      <c r="H78" s="1" t="n"/>
      <c r="I78" s="1" t="n"/>
      <c r="J78" s="1" t="n"/>
      <c r="K78" s="1" t="n"/>
      <c r="L78" s="1" t="n"/>
    </row>
    <row r="79" ht="26" customHeight="1">
      <c r="A79" s="1" t="n"/>
      <c r="B79" s="88" t="inlineStr">
        <is>
          <t>9 · ESTRUCTURA DE COSTOS</t>
        </is>
      </c>
      <c r="C79" s="88" t="n"/>
      <c r="D79" s="88" t="n"/>
      <c r="E79" s="88" t="n"/>
      <c r="F79" s="88" t="n"/>
      <c r="G79" s="88" t="n"/>
      <c r="H79" s="88" t="n"/>
      <c r="I79" s="88" t="n"/>
      <c r="J79" s="88" t="n"/>
      <c r="K79" s="88" t="n"/>
      <c r="L79" s="1" t="n"/>
    </row>
    <row r="80" ht="271.872" customHeight="1">
      <c r="A80" s="1" t="n"/>
      <c r="B80" s="89" t="inlineStr">
        <is>
          <t>Es una estructura intensiva en activos y en trabajo, y conviene entender por qué antes de ver las cifras: este es un servicio logístico puerta a puerta, y esos servicios los hace gente, no máquinas.
LO QUE SE PAGA UNA SOLA VEZ
El rubro dominante son los aparatos: $258,044 por unidad en pedidos de diez mil, que es la escala del despliegue, frente a $1,106,576 en pedidos de cien. Luego el desarrollo de la plataforma de software, $346.1 millones; la planta de compostaje; la flota; la red de antenas; la certificación RETIE, obligatoria para vender cualquier producto eléctrico en Colombia, $43.4 millones; y los moldes de fabricación.
LO QUE SE PAGA TODOS LOS MESES
El personal es el 39 % del gasto operativo. Un operario cuesta $2,764,188 mensuales y un conductor $3,398,595, con el factor prestacional del 42.18 % y ARL clase IV, que es la que corresponde a recolección de residuos y no la clase I que se suele suponer.
El segundo rubro es menos evidente: los consumibles que se le entregan a la familia —filtro de carbón, bolsas compostables y estructurante— pesan el 19 % del gasto, mientras que la conectividad, que parecía el problema difícil, es el 0.4 %. Visto solo sobre los costos atribuibles al aparato, los consumibles son cerca del 80 % y la radio entre el 2 % y el 12 %. La palanca de ahorro no es la tecnología: son el filtro y las bolsas.
Completan el cuadro el arriendo de planta, el combustible, el mantenimiento de la plataforma, el acompañamiento social y la administración.
LA VERDAD QUE HAY QUE DECIR
Tratar una tonelada de residuo orgánico recogido casa por casa cuesta más que enterrarla, porque el costo de la recolección depende del número de paradas y no del volumen recogido: cada hogar genera apenas 0.17 toneladas al año pero requiere una visita semanal.
Por eso el programa incorpora desde el diseño la línea institucional —colegios, plazas de mercado, comedores y restaurantes—, donde una sola parada rinde cientos de kilogramos. Esa línea diluye la estructura de costos y reduce el costo por tonelada tratada a menos de la tercera parte. La hoja de Costeo desarrolla la estructura de costos completa, las fuentes de ingreso, el resultado del año y el beneficio que recibe la ciudad.</t>
        </is>
      </c>
      <c r="C80" s="89" t="n"/>
      <c r="D80" s="89" t="n"/>
      <c r="E80" s="89" t="n"/>
      <c r="F80" s="89" t="n"/>
      <c r="G80" s="89" t="n"/>
      <c r="H80" s="89" t="n"/>
      <c r="I80" s="89" t="n"/>
      <c r="J80" s="89" t="n"/>
      <c r="K80" s="89" t="n"/>
      <c r="L80" s="1" t="n"/>
    </row>
    <row r="81" ht="10" customHeight="1">
      <c r="A81" s="1" t="n"/>
      <c r="B81" s="1" t="n"/>
      <c r="C81" s="1" t="n"/>
      <c r="D81" s="1" t="n"/>
      <c r="E81" s="1" t="n"/>
      <c r="F81" s="1" t="n"/>
      <c r="G81" s="1" t="n"/>
      <c r="H81" s="1" t="n"/>
      <c r="I81" s="1" t="n"/>
      <c r="J81" s="1" t="n"/>
      <c r="K81" s="1" t="n"/>
      <c r="L81" s="1" t="n"/>
    </row>
    <row r="82">
      <c r="A82" s="1" t="n"/>
      <c r="B82" s="1" t="n"/>
      <c r="C82" s="1" t="n"/>
      <c r="D82" s="1" t="n"/>
      <c r="E82" s="1" t="n"/>
      <c r="F82" s="1" t="n"/>
      <c r="G82" s="1" t="n"/>
      <c r="H82" s="1" t="n"/>
      <c r="I82" s="1" t="n"/>
      <c r="J82" s="1" t="n"/>
      <c r="K82" s="1" t="n"/>
      <c r="L82" s="1" t="n"/>
    </row>
    <row r="83">
      <c r="A83" s="1" t="n"/>
      <c r="B83" s="1" t="n"/>
      <c r="C83" s="1" t="n"/>
      <c r="D83" s="1" t="n"/>
      <c r="E83" s="1" t="n"/>
      <c r="F83" s="1" t="n"/>
      <c r="G83" s="1" t="n"/>
      <c r="H83" s="1" t="n"/>
      <c r="I83" s="1" t="n"/>
      <c r="J83" s="1" t="n"/>
      <c r="K83" s="1" t="n"/>
      <c r="L83" s="1" t="n"/>
    </row>
    <row r="84">
      <c r="A84" s="1" t="n"/>
      <c r="B84" s="1" t="n"/>
      <c r="C84" s="1" t="n"/>
      <c r="D84" s="1" t="n"/>
      <c r="E84" s="1" t="n"/>
      <c r="F84" s="1" t="n"/>
      <c r="G84" s="1" t="n"/>
      <c r="H84" s="1" t="n"/>
      <c r="I84" s="1" t="n"/>
      <c r="J84" s="1" t="n"/>
      <c r="K84" s="1" t="n"/>
      <c r="L84" s="1" t="n"/>
    </row>
  </sheetData>
  <mergeCells count="42">
    <mergeCell ref="J8:K32"/>
    <mergeCell ref="B7:C7"/>
    <mergeCell ref="D19:E19"/>
    <mergeCell ref="B74:K74"/>
    <mergeCell ref="B65:K65"/>
    <mergeCell ref="B68:K68"/>
    <mergeCell ref="B55:K55"/>
    <mergeCell ref="B6:K6"/>
    <mergeCell ref="B64:K64"/>
    <mergeCell ref="F7:G7"/>
    <mergeCell ref="D8:E18"/>
    <mergeCell ref="G34:K50"/>
    <mergeCell ref="B76:K76"/>
    <mergeCell ref="B80:K80"/>
    <mergeCell ref="B79:K79"/>
    <mergeCell ref="B4:K4"/>
    <mergeCell ref="H8:I18"/>
    <mergeCell ref="B62:K62"/>
    <mergeCell ref="B8:C32"/>
    <mergeCell ref="B3:K3"/>
    <mergeCell ref="F8:G32"/>
    <mergeCell ref="B59:K59"/>
    <mergeCell ref="B34:F50"/>
    <mergeCell ref="D20:E32"/>
    <mergeCell ref="B71:K71"/>
    <mergeCell ref="D7:E7"/>
    <mergeCell ref="H20:I32"/>
    <mergeCell ref="H7:I7"/>
    <mergeCell ref="B56:K56"/>
    <mergeCell ref="B58:K58"/>
    <mergeCell ref="J7:K7"/>
    <mergeCell ref="B52:K52"/>
    <mergeCell ref="G33:K33"/>
    <mergeCell ref="B70:K70"/>
    <mergeCell ref="H19:I19"/>
    <mergeCell ref="B77:K77"/>
    <mergeCell ref="B2:K2"/>
    <mergeCell ref="B67:K67"/>
    <mergeCell ref="B61:K61"/>
    <mergeCell ref="B33:F33"/>
    <mergeCell ref="B53:K53"/>
    <mergeCell ref="B73:K73"/>
  </mergeCells>
  <printOptions horizontalCentered="1"/>
  <pageMargins left="0.4" right="0.4" top="0.5" bottom="0.5" header="0.5" footer="0.5"/>
  <pageSetup orientation="landscape" paperSize="9" fitToHeight="0" fitToWidth="1"/>
  <ignoredErrors>
    <ignoredError sqref="A1:L84" numberStoredAsText="1"/>
  </ignoredErrors>
</worksheet>
</file>

<file path=xl/worksheets/sheet5.xml><?xml version="1.0" encoding="utf-8"?>
<worksheet xmlns="http://schemas.openxmlformats.org/spreadsheetml/2006/main">
  <sheetPr>
    <tabColor rgb="009C4A2F"/>
    <outlinePr summaryBelow="1" summaryRight="1"/>
    <pageSetUpPr fitToPage="1"/>
  </sheetPr>
  <dimension ref="A1:G279"/>
  <sheetViews>
    <sheetView showGridLines="0" zoomScale="85" workbookViewId="0">
      <pane xSplit="1" ySplit="3" topLeftCell="B4" activePane="bottomRight" state="frozen"/>
      <selection pane="topRight"/>
      <selection pane="bottomLeft"/>
      <selection pane="bottomRight" activeCell="A1" sqref="A1"/>
    </sheetView>
  </sheetViews>
  <sheetFormatPr baseColWidth="8" defaultRowHeight="15"/>
  <cols>
    <col width="2.43" customWidth="1" min="1" max="1"/>
    <col width="50.29" customWidth="1" min="2" max="2"/>
    <col width="50.29" customWidth="1" min="3" max="3"/>
    <col width="50.29" customWidth="1" min="4" max="4"/>
    <col width="50.29" customWidth="1" min="5" max="5"/>
    <col width="50.29" customWidth="1" min="6" max="6"/>
    <col width="2.43" customWidth="1" min="7" max="7"/>
  </cols>
  <sheetData>
    <row r="1">
      <c r="A1" s="1" t="n"/>
      <c r="B1" s="1" t="n"/>
      <c r="C1" s="1" t="n"/>
      <c r="D1" s="1" t="n"/>
      <c r="E1" s="1" t="n"/>
      <c r="F1" s="1" t="n"/>
      <c r="G1" s="1" t="n"/>
    </row>
    <row r="2" ht="46" customHeight="1">
      <c r="A2" s="1" t="n"/>
      <c r="B2" s="2" t="inlineStr">
        <is>
          <t>COSTEO FINANCIERO</t>
        </is>
      </c>
      <c r="C2" s="2" t="n"/>
      <c r="D2" s="2" t="n"/>
      <c r="E2" s="2" t="n"/>
      <c r="F2" s="2" t="n"/>
      <c r="G2" s="1" t="n"/>
    </row>
    <row r="3" ht="24" customHeight="1">
      <c r="A3" s="1" t="n"/>
      <c r="B3" s="3" t="inlineStr">
        <is>
          <t>Cuánto cuesta montar el proyecto y de dónde sale ese dinero, cuánto cuesta operarlo cada año y de dónde sale ese otro dinero</t>
        </is>
      </c>
      <c r="C3" s="3" t="n"/>
      <c r="D3" s="3" t="n"/>
      <c r="E3" s="3" t="n"/>
      <c r="F3" s="3" t="n"/>
      <c r="G3" s="1" t="n"/>
    </row>
    <row r="4" ht="20" customHeight="1">
      <c r="A4" s="1" t="n"/>
      <c r="B4" s="23" t="inlineStr">
        <is>
          <t>Léase esto primero</t>
        </is>
      </c>
      <c r="C4" s="23" t="n"/>
      <c r="D4" s="23" t="n"/>
      <c r="E4" s="23" t="n"/>
      <c r="F4" s="23" t="n"/>
      <c r="G4" s="1" t="n"/>
    </row>
    <row r="5" ht="239.363" customHeight="1">
      <c r="A5" s="1" t="n"/>
      <c r="B5" s="24" t="inlineStr">
        <is>
          <t>LAS DOS PREGUNTAS QUE RESPONDE ESTA HOJA
Primera: ¿cuánto cuesta arrancar el proyecto y de dónde sale ese dinero? Segunda: ¿cuánto cuesta sostenerlo cada año y de dónde sale ese otro dinero? Las dos se responden con una tabla de fuentes y usos, que es como se presenta cualquier proyecto de inversión: a la izquierda lo que se gasta, a la derecha con qué se paga, y las dos columnas tienen que sumar lo mismo. Si no suman lo mismo, el proyecto no está financiado y hay que decirlo.
LAS DOS FASES, QUE NO SE MEZCLAN
La FASE 1 es el montaje: comprar los aparatos, construir la planta, comprar los camiones. Se paga una sola vez, antes de arrancar. La FASE 2 es la operación: sueldos, combustible, bolsas, el incentivo a las familias. Se paga todos los años mientras el proyecto funcione. Son dos bolsas de dinero distintas, con fuentes distintas, y por eso van separadas.
TODO ESTÁ CALCULADO CON FÓRMULAS
Ningún número está escrito a mano. Los subtotales suman las filas que tienen encima y los totales suman los subtotales. Si usted se para sobre cualquier celda con un valor y mira la barra de fórmulas, verá de dónde sale y podrá seguir la cadena hasta los supuestos de la sección 1.
CÓMO SE ESCRIBEN LOS NÚMEROS
Los miles con coma y los decimales con punto, igual en las celdas y en los textos. Todos los valores están redondeados al peso.</t>
        </is>
      </c>
      <c r="C5" s="24" t="n"/>
      <c r="D5" s="24" t="n"/>
      <c r="E5" s="24" t="n"/>
      <c r="F5" s="24" t="n"/>
      <c r="G5" s="1" t="n"/>
    </row>
    <row r="6" ht="14" customHeight="1">
      <c r="A6" s="1" t="n"/>
      <c r="B6" s="1" t="n"/>
      <c r="C6" s="1" t="n"/>
      <c r="D6" s="1" t="n"/>
      <c r="E6" s="1" t="n"/>
      <c r="F6" s="1" t="n"/>
      <c r="G6" s="1" t="n"/>
    </row>
    <row r="7" ht="26" customHeight="1">
      <c r="A7" s="1" t="n"/>
      <c r="B7" s="84" t="inlineStr">
        <is>
          <t>1.   Bases de cálculo</t>
        </is>
      </c>
      <c r="C7" s="84" t="n"/>
      <c r="D7" s="84" t="n"/>
      <c r="E7" s="84" t="n"/>
      <c r="F7" s="84" t="n"/>
      <c r="G7" s="1" t="n"/>
    </row>
    <row r="8" ht="35.59999999999999" customHeight="1">
      <c r="A8" s="1" t="n"/>
      <c r="B8" s="15" t="inlineStr">
        <is>
          <t>Los supuestos de los que dependen todas las cuentas, cada uno con su fuente. Las celdas de la columna «Valor» alimentan las fórmulas del resto de la hoja: si usted cambia una, todo lo demás se recalcula.</t>
        </is>
      </c>
      <c r="C8" s="15" t="n"/>
      <c r="D8" s="15" t="n"/>
      <c r="E8" s="15" t="n"/>
      <c r="F8" s="15" t="n"/>
      <c r="G8" s="1" t="n"/>
    </row>
    <row r="9" ht="30" customHeight="1">
      <c r="A9" s="1" t="n"/>
      <c r="B9" s="90" t="inlineStr">
        <is>
          <t>Supuesto</t>
        </is>
      </c>
      <c r="C9" s="90" t="inlineStr">
        <is>
          <t>Qué significa</t>
        </is>
      </c>
      <c r="D9" s="90" t="inlineStr">
        <is>
          <t>Valor</t>
        </is>
      </c>
      <c r="E9" s="90" t="inlineStr">
        <is>
          <t>De dónde sale</t>
        </is>
      </c>
      <c r="F9" s="91" t="n"/>
      <c r="G9" s="1" t="n"/>
    </row>
    <row r="10" ht="93.07249999999999" customHeight="1">
      <c r="A10" s="1" t="n"/>
      <c r="B10" s="19" t="inlineStr">
        <is>
          <t>Hogares atendidos</t>
        </is>
      </c>
      <c r="C10" s="20" t="inlineStr">
        <is>
          <t>Hogares de Usme que reciben el aparato doméstico.</t>
        </is>
      </c>
      <c r="D10" s="92" t="n">
        <v>12000</v>
      </c>
      <c r="E10" s="47" t="inlineStr">
        <is>
          <t>[VERIFICADO] Usme tiene 141,795 hogares en toda la localidad. Los 12,000 de este proyecto están todos en las UPZ Gran Yomasa y Comuneros, que juntas suman unos 81,700 hogares: se atiende el 14.7 % de esas dos UPZ y el 8.5 % de la localidad.
https://www.integracionsocial.gov.co/images/_docs/2025/Entidad/localidades/12052025-5-Usme-Diagnostico-2024.pdf</t>
        </is>
      </c>
      <c r="F10" s="93" t="n"/>
      <c r="G10" s="1" t="n"/>
    </row>
    <row r="11" ht="60.5635" customHeight="1">
      <c r="A11" s="1" t="n"/>
      <c r="B11" s="21" t="inlineStr">
        <is>
          <t>Residuo de comida por hogar al día</t>
        </is>
      </c>
      <c r="C11" s="22" t="inlineStr">
        <is>
          <t>Cuánta comida bota al día un hogar de estrato 1 o 2.</t>
        </is>
      </c>
      <c r="D11" s="94" t="n">
        <v>0.58</v>
      </c>
      <c r="E11" s="49" t="inlineStr">
        <is>
          <t>[VERIFICADO] Cálculo sobre las toneladas por suscriptor del pliego tarifario del operador de Usme y la fracción orgánica de la guía UAESP.
https://www.promoambientaldistrito.com/Tarifas/202510_ASE01.pdf</t>
        </is>
      </c>
      <c r="F11" s="93" t="n"/>
      <c r="G11" s="1" t="n"/>
    </row>
    <row r="12" ht="60.5635" customHeight="1">
      <c r="A12" s="1" t="n"/>
      <c r="B12" s="19" t="inlineStr">
        <is>
          <t>Porcentaje que llega al aparato</t>
        </is>
      </c>
      <c r="C12" s="20" t="inlineStr">
        <is>
          <t>No todo entra: se pierde por olvido, viajes o uso incorrecto.</t>
        </is>
      </c>
      <c r="D12" s="95" t="n">
        <v>0.8</v>
      </c>
      <c r="E12" s="47" t="inlineStr">
        <is>
          <t>[ESTIMADO] Supuesto conservador. En Corea del Sur el mismo sistema alcanzó 81.6 % de cobertura en apartamentos.
https://www.koreaherald.com/article/10638389</t>
        </is>
      </c>
      <c r="F12" s="93" t="n"/>
      <c r="G12" s="1" t="n"/>
    </row>
    <row r="13" ht="60.5635" customHeight="1">
      <c r="A13" s="1" t="n"/>
      <c r="B13" s="21" t="inlineStr">
        <is>
          <t>Establecimientos atendidos</t>
        </is>
      </c>
      <c r="C13" s="22" t="inlineStr">
        <is>
          <t>Colegios, plaza de mercado, comedores, restaurantes y tiendas de alimentos.</t>
        </is>
      </c>
      <c r="D13" s="96" t="n">
        <v>346</v>
      </c>
      <c r="E13" s="49" t="inlineStr">
        <is>
          <t>[ESTIMADO] Inventario por tipo en la nota 2. A diferencia de la línea domiciliaria, la comercial cubre TODA la localidad de Usme y no solo dos UPZ, porque son apenas 346 puntos dispersos y una ruta comercial los alcanza sin problema.</t>
        </is>
      </c>
      <c r="F13" s="93" t="n"/>
      <c r="G13" s="1" t="n"/>
    </row>
    <row r="14" ht="60.5635" customHeight="1">
      <c r="A14" s="1" t="n"/>
      <c r="B14" s="19" t="inlineStr">
        <is>
          <t>Residuo de los establecimientos al día</t>
        </is>
      </c>
      <c r="C14" s="20" t="inlineStr">
        <is>
          <t>Suma de lo que generan los 346 establecimientos.</t>
        </is>
      </c>
      <c r="D14" s="92" t="n">
        <v>10000</v>
      </c>
      <c r="E14" s="47" t="inlineStr">
        <is>
          <t>[ESTIMADO] Detalle por tipo en la nota 2. Como referencia, la ruta de plazas de mercado de Bogotá moviliza más de 71 toneladas al mes.
https://www.uaesp.gov.co/sites/default/files/planeacion/pgirs2025/DTS_PGIRS_2024.pdf</t>
        </is>
      </c>
      <c r="F14" s="93" t="n"/>
      <c r="G14" s="1" t="n"/>
    </row>
    <row r="15" ht="60.5635" customHeight="1">
      <c r="A15" s="1" t="n"/>
      <c r="B15" s="21" t="inlineStr">
        <is>
          <t>Rendimiento del compostaje</t>
        </is>
      </c>
      <c r="C15" s="22" t="inlineStr">
        <is>
          <t>Toneladas de abono por cada tonelada que entra.</t>
        </is>
      </c>
      <c r="D15" s="94" t="n">
        <v>0.35</v>
      </c>
      <c r="E15" s="49" t="inlineStr">
        <is>
          <t>[VERIFICADO] El estudio del Ministerio de Vivienda observó hasta 0.60 en plantas colombianas. Se usa 0.35 para no sobreestimar.
https://www.minvivienda.gov.co/sites/default/files/documentos/20210806-entregable-1-v5-definitiva_0.pdf</t>
        </is>
      </c>
      <c r="F15" s="93" t="n"/>
      <c r="G15" s="1" t="n"/>
    </row>
    <row r="16" ht="60.5635" customHeight="1">
      <c r="A16" s="1" t="n"/>
      <c r="B16" s="19" t="inlineStr">
        <is>
          <t>Precio promedio del abono</t>
        </is>
      </c>
      <c r="C16" s="20" t="inlineStr">
        <is>
          <t>Mezcla de 60 % a granel a $250,000, 30 % de humus de lombriz a $395,000 y 10 % empacado a $700,000.</t>
        </is>
      </c>
      <c r="D16" s="97" t="n">
        <v>338500</v>
      </c>
      <c r="E16" s="47" t="inlineStr">
        <is>
          <t>[VERIFICADO] El estudio del Ministerio de Vivienda reporta ventas del subproducto entre $160,000 y $300,000 por tonelada; el humus y el empacado se verificaron con proveedores.
https://tumatera.co/products/bulto-compost-x-50-kg</t>
        </is>
      </c>
      <c r="F16" s="93" t="n"/>
      <c r="G16" s="1" t="n"/>
    </row>
    <row r="17" ht="60.5635" customHeight="1">
      <c r="A17" s="1" t="n"/>
      <c r="B17" s="21" t="inlineStr">
        <is>
          <t>Tarifa del contrato con el Distrito</t>
        </is>
      </c>
      <c r="C17" s="22" t="inlineStr">
        <is>
          <t>Por cada tonelada domiciliaria recogida y tratada.</t>
        </is>
      </c>
      <c r="D17" s="98" t="n">
        <v>150000</v>
      </c>
      <c r="E17" s="49" t="inlineStr">
        <is>
          <t>[ESTIMADO] Se fija por debajo de los $191,190 que hoy le cuesta a la ciudad esa misma tonelada. Sustento legal en la nota 1.
https://www.promoambientaldistrito.com/Tarifas/202510_ASE01.pdf</t>
        </is>
      </c>
      <c r="F17" s="93" t="n"/>
      <c r="G17" s="1" t="n"/>
    </row>
    <row r="18" ht="60.5635" customHeight="1">
      <c r="A18" s="1" t="n"/>
      <c r="B18" s="19" t="inlineStr">
        <is>
          <t>Tarifa a los establecimientos</t>
        </is>
      </c>
      <c r="C18" s="20" t="inlineStr">
        <is>
          <t>Por cada tonelada recogida y tratada.</t>
        </is>
      </c>
      <c r="D18" s="97" t="n">
        <v>140000</v>
      </c>
      <c r="E18" s="47" t="inlineStr">
        <is>
          <t>[VERIFICADO] El estudio del Ministerio de Vivienda reporta que las plantas cobran entre $30,000 y $250,000 por tonelada recibida.
https://www.minvivienda.gov.co/sites/default/files/documentos/20210806-entregable-1-v5-definitiva_0.pdf</t>
        </is>
      </c>
      <c r="F18" s="93" t="n"/>
      <c r="G18" s="1" t="n"/>
    </row>
    <row r="19" ht="44.309" customHeight="1">
      <c r="A19" s="1" t="n"/>
      <c r="B19" s="21" t="inlineStr">
        <is>
          <t>Incentivo mensual por hogar</t>
        </is>
      </c>
      <c r="C19" s="22" t="inlineStr">
        <is>
          <t>Lo máximo que puede recibir una familia al mes.</t>
        </is>
      </c>
      <c r="D19" s="98" t="n">
        <v>1500</v>
      </c>
      <c r="E19" s="49" t="inlineStr">
        <is>
          <t>[ESTIMADO] Decisión del proyecto. La sección 8 explica cómo se entrega y por qué no puede ser un descuento en la factura.</t>
        </is>
      </c>
      <c r="F19" s="93" t="n"/>
      <c r="G19" s="1" t="n"/>
    </row>
    <row r="20" ht="28.0545" customHeight="1">
      <c r="A20" s="1" t="n"/>
      <c r="B20" s="19" t="inlineStr">
        <is>
          <t>Costo del aparato doméstico</t>
        </is>
      </c>
      <c r="C20" s="20" t="inlineStr">
        <is>
          <t>Fabricado e instalado, en pedidos de 10,000 unidades.</t>
        </is>
      </c>
      <c r="D20" s="97" t="n">
        <v>258044</v>
      </c>
      <c r="E20" s="47" t="inlineStr">
        <is>
          <t>[VERIFICADO] Despiece pieza por pieza en la hoja 5.</t>
        </is>
      </c>
      <c r="F20" s="93" t="n"/>
      <c r="G20" s="1" t="n"/>
    </row>
    <row r="21" ht="28.0545" customHeight="1">
      <c r="A21" s="1" t="n"/>
      <c r="B21" s="21" t="inlineStr">
        <is>
          <t>Costo del aparato comercial</t>
        </is>
      </c>
      <c r="C21" s="22" t="inlineStr">
        <is>
          <t>Fabricado e instalado, en pedidos de 200 unidades.</t>
        </is>
      </c>
      <c r="D21" s="98" t="n">
        <v>3853145</v>
      </c>
      <c r="E21" s="49" t="inlineStr">
        <is>
          <t>[VERIFICADO] Despiece pieza por pieza en la hoja 5.</t>
        </is>
      </c>
      <c r="F21" s="93" t="n"/>
      <c r="G21" s="1" t="n"/>
    </row>
    <row r="22" ht="60.5635" customHeight="1">
      <c r="A22" s="1" t="n"/>
      <c r="B22" s="19" t="inlineStr">
        <is>
          <t>Costo de la cadena actual por tonelada</t>
        </is>
      </c>
      <c r="C22" s="20" t="inlineStr">
        <is>
          <t>Lo que hoy le cuesta a la ciudad recoger, enterrar y tratar el lixiviado de una tonelada.</t>
        </is>
      </c>
      <c r="D22" s="97" t="n">
        <v>191190</v>
      </c>
      <c r="E22" s="47" t="inlineStr">
        <is>
          <t>[VERIFICADO] Pliego tarifario del área de servicio de Usme: $124,696 de recolección y transporte, $45,541 de disposición final y $20,953 de lixiviados.
https://www.promoambientaldistrito.com/Tarifas/202510_ASE01.pdf</t>
        </is>
      </c>
      <c r="F22" s="93" t="n"/>
      <c r="G22" s="1" t="n"/>
    </row>
    <row r="23" ht="60.5635" customHeight="1">
      <c r="A23" s="1" t="n"/>
      <c r="B23" s="21" t="inlineStr">
        <is>
          <t>Costo mensual de un operario</t>
        </is>
      </c>
      <c r="C23" s="22" t="inlineStr">
        <is>
          <t>Lo que le cuesta al empleador, no lo que recibe el trabajador.</t>
        </is>
      </c>
      <c r="D23" s="98" t="n">
        <v>2764188</v>
      </c>
      <c r="E23" s="49" t="inlineStr">
        <is>
          <t>[VERIFICADO] Salario mínimo de 2026 más auxilio de transporte, factor prestacional de 42.18 % y ARL de clase IV.
https://www.minsalud.gov.co/sites/rid/Lists/BibliotecaDigital/RIDE/DE/DIJ/Decreto-1607-de-2002.pdf</t>
        </is>
      </c>
      <c r="F23" s="93" t="n"/>
      <c r="G23" s="1" t="n"/>
    </row>
    <row r="24" ht="44.309" customHeight="1">
      <c r="A24" s="1" t="n"/>
      <c r="B24" s="19" t="inlineStr">
        <is>
          <t>Costo mensual de un conductor</t>
        </is>
      </c>
      <c r="C24" s="20" t="inlineStr">
        <is>
          <t>Lo que le cuesta al empleador.</t>
        </is>
      </c>
      <c r="D24" s="97" t="n">
        <v>3398595</v>
      </c>
      <c r="E24" s="47" t="inlineStr">
        <is>
          <t>[VERIFICADO] Mismo cálculo prestacional sobre el salario de mercado.
https://logitools.co/guias/costo-operativo-camion-colombia</t>
        </is>
      </c>
      <c r="F24" s="93" t="n"/>
      <c r="G24" s="1" t="n"/>
    </row>
    <row r="25" ht="44.309" customHeight="1">
      <c r="A25" s="1" t="n"/>
      <c r="B25" s="21" t="inlineStr">
        <is>
          <t>Costo de operar un vehículo por kilómetro</t>
        </is>
      </c>
      <c r="C25" s="22" t="inlineStr">
        <is>
          <t>Combustible, aceites, llantas y mantenimiento.</t>
        </is>
      </c>
      <c r="D25" s="98" t="n">
        <v>2400</v>
      </c>
      <c r="E25" s="49" t="inlineStr">
        <is>
          <t>[VERIFICADO] Guía de costos operativos de un camión en Colombia.
https://logitools.co/guias/costo-operativo-camion-colombia</t>
        </is>
      </c>
      <c r="F25" s="93" t="n"/>
      <c r="G25" s="1" t="n"/>
    </row>
    <row r="26" ht="44.309" customHeight="1">
      <c r="A26" s="1" t="n"/>
      <c r="B26" s="19" t="inlineStr">
        <is>
          <t>Tasa de cambio</t>
        </is>
      </c>
      <c r="C26" s="20" t="inlineStr">
        <is>
          <t>Para los precios que están en dólares.</t>
        </is>
      </c>
      <c r="D26" s="97" t="n">
        <v>3100</v>
      </c>
      <c r="E26" s="47" t="inlineStr">
        <is>
          <t>[VERIFICADO] Tasa Representativa del Mercado de la Superintendencia Financiera, redondeada.
https://www.datos.gov.co/resource/32sa-8pi3.json</t>
        </is>
      </c>
      <c r="F26" s="93" t="n"/>
      <c r="G26" s="1" t="n"/>
    </row>
    <row r="27" ht="14" customHeight="1">
      <c r="A27" s="1" t="n"/>
      <c r="B27" s="1" t="n"/>
      <c r="C27" s="1" t="n"/>
      <c r="D27" s="1" t="n"/>
      <c r="E27" s="1" t="n"/>
      <c r="F27" s="1" t="n"/>
      <c r="G27" s="1" t="n"/>
    </row>
    <row r="28" ht="26" customHeight="1">
      <c r="A28" s="1" t="n"/>
      <c r="B28" s="84" t="inlineStr">
        <is>
          <t>2.   Cuánto material entra al proyecto</t>
        </is>
      </c>
      <c r="C28" s="84" t="n"/>
      <c r="D28" s="84" t="n"/>
      <c r="E28" s="84" t="n"/>
      <c r="F28" s="84" t="n"/>
      <c r="G28" s="1" t="n"/>
    </row>
    <row r="29" ht="28.91" customHeight="1">
      <c r="A29" s="1" t="n"/>
      <c r="B29" s="15" t="inlineStr">
        <is>
          <t>De estas toneladas dependen el ingreso del contrato y la cantidad de abono que se vende, así que la cuenta se hace paso a paso.</t>
        </is>
      </c>
      <c r="C29" s="15" t="n"/>
      <c r="D29" s="15" t="n"/>
      <c r="E29" s="15" t="n"/>
      <c r="F29" s="15" t="n"/>
      <c r="G29" s="1" t="n"/>
    </row>
    <row r="30" ht="30" customHeight="1">
      <c r="A30" s="1" t="n"/>
      <c r="B30" s="18" t="inlineStr">
        <is>
          <t>Paso</t>
        </is>
      </c>
      <c r="C30" s="18" t="inlineStr">
        <is>
          <t>Cómo se calcula</t>
        </is>
      </c>
      <c r="D30" s="18" t="inlineStr">
        <is>
          <t>Resultado</t>
        </is>
      </c>
      <c r="E30" s="18" t="inlineStr">
        <is>
          <t>Unidad</t>
        </is>
      </c>
      <c r="F30" s="99" t="n"/>
      <c r="G30" s="1" t="n"/>
    </row>
    <row r="31" ht="44.309" customHeight="1">
      <c r="A31" s="1" t="n"/>
      <c r="B31" s="20" t="inlineStr">
        <is>
          <t>Kilos que entregan los hogares cada día</t>
        </is>
      </c>
      <c r="C31" s="20" t="inlineStr">
        <is>
          <t>12,000 hogares, por los 0.58 kilos que bota cada uno al día, por el 80 % que realmente llega al aparato</t>
        </is>
      </c>
      <c r="D31" s="100">
        <f>D10*D11*D12</f>
        <v/>
      </c>
      <c r="E31" s="47" t="inlineStr">
        <is>
          <t>kilos al día</t>
        </is>
      </c>
      <c r="F31" s="93" t="n"/>
      <c r="G31" s="1" t="n"/>
    </row>
    <row r="32" ht="44.309" customHeight="1">
      <c r="A32" s="1" t="n"/>
      <c r="B32" s="101" t="inlineStr">
        <is>
          <t>Toneladas de los hogares al año</t>
        </is>
      </c>
      <c r="C32" s="102" t="inlineStr">
        <is>
          <t>Los kilos de la fila anterior, divididos por mil, por los 365 días del año</t>
        </is>
      </c>
      <c r="D32" s="103">
        <f>D31/1000*365</f>
        <v/>
      </c>
      <c r="E32" s="104" t="inlineStr">
        <is>
          <t>toneladas al año</t>
        </is>
      </c>
      <c r="F32" s="93" t="n"/>
      <c r="G32" s="1" t="n"/>
    </row>
    <row r="33" ht="60.5635" customHeight="1">
      <c r="A33" s="1" t="n"/>
      <c r="B33" s="101" t="inlineStr">
        <is>
          <t>Toneladas de los establecimientos al año</t>
        </is>
      </c>
      <c r="C33" s="102" t="inlineStr">
        <is>
          <t>Los 10,000 kilos diarios que suman los 346 establecimientos, divididos por mil, por los 300 días que operan al año</t>
        </is>
      </c>
      <c r="D33" s="103">
        <f>D14/1000*300</f>
        <v/>
      </c>
      <c r="E33" s="104" t="inlineStr">
        <is>
          <t>toneladas al año</t>
        </is>
      </c>
      <c r="F33" s="93" t="n"/>
      <c r="G33" s="1" t="n"/>
    </row>
    <row r="34" ht="44.309" customHeight="1">
      <c r="A34" s="1" t="n"/>
      <c r="B34" s="101" t="inlineStr">
        <is>
          <t>TONELADAS QUE ENTRAN A LA PLANTA AL AÑO</t>
        </is>
      </c>
      <c r="C34" s="102" t="inlineStr">
        <is>
          <t>Las toneladas de los hogares más las de los establecimientos</t>
        </is>
      </c>
      <c r="D34" s="103">
        <f>D32+D33</f>
        <v/>
      </c>
      <c r="E34" s="104" t="inlineStr">
        <is>
          <t>toneladas al año</t>
        </is>
      </c>
      <c r="F34" s="93" t="n"/>
      <c r="G34" s="1" t="n"/>
    </row>
    <row r="35" ht="28.0545" customHeight="1">
      <c r="A35" s="1" t="n"/>
      <c r="B35" s="20" t="inlineStr">
        <is>
          <t>Toneladas que entran cada día</t>
        </is>
      </c>
      <c r="C35" s="20" t="inlineStr">
        <is>
          <t>El total del año dividido por 365 días</t>
        </is>
      </c>
      <c r="D35" s="105">
        <f>D34/365</f>
        <v/>
      </c>
      <c r="E35" s="47" t="inlineStr">
        <is>
          <t>toneladas al día</t>
        </is>
      </c>
      <c r="F35" s="93" t="n"/>
      <c r="G35" s="1" t="n"/>
    </row>
    <row r="36" ht="60.5635" customHeight="1">
      <c r="A36" s="1" t="n"/>
      <c r="B36" s="101" t="inlineStr">
        <is>
          <t>Toneladas de abono que salen al año</t>
        </is>
      </c>
      <c r="C36" s="102" t="inlineStr">
        <is>
          <t>El total que entra, por el rendimiento de 0.35: de cada tonelada que entra salen 350 kilos de abono terminado</t>
        </is>
      </c>
      <c r="D36" s="103">
        <f>D34*D15</f>
        <v/>
      </c>
      <c r="E36" s="104" t="inlineStr">
        <is>
          <t>toneladas al año</t>
        </is>
      </c>
      <c r="F36" s="93" t="n"/>
      <c r="G36" s="1" t="n"/>
    </row>
    <row r="37" ht="14" customHeight="1">
      <c r="A37" s="1" t="n"/>
      <c r="B37" s="1" t="n"/>
      <c r="C37" s="1" t="n"/>
      <c r="D37" s="1" t="n"/>
      <c r="E37" s="1" t="n"/>
      <c r="F37" s="1" t="n"/>
      <c r="G37" s="1" t="n"/>
    </row>
    <row r="38" ht="26" customHeight="1">
      <c r="A38" s="1" t="n"/>
      <c r="B38" s="88" t="inlineStr">
        <is>
          <t>3.   Fase 1 · El montaje: qué se paga una sola vez y con qué</t>
        </is>
      </c>
      <c r="C38" s="88" t="n"/>
      <c r="D38" s="88" t="n"/>
      <c r="E38" s="88" t="n"/>
      <c r="F38" s="88" t="n"/>
      <c r="G38" s="1" t="n"/>
    </row>
    <row r="39" ht="35.59999999999999" customHeight="1">
      <c r="A39" s="1" t="n"/>
      <c r="B39" s="15" t="inlineStr">
        <is>
          <t>Esta es el dinero que hay que conseguir antes de arrancar. Primero se lista en qué se gasta, y enseguida de dónde sale cada peso. Las dos listas suman exactamente lo mismo.</t>
        </is>
      </c>
      <c r="C39" s="15" t="n"/>
      <c r="D39" s="15" t="n"/>
      <c r="E39" s="15" t="n"/>
      <c r="F39" s="15" t="n"/>
      <c r="G39" s="1" t="n"/>
    </row>
    <row r="40" ht="20" customHeight="1">
      <c r="A40" s="1" t="n"/>
      <c r="B40" s="106" t="inlineStr">
        <is>
          <t>3.1  En qué se gasta</t>
        </is>
      </c>
      <c r="C40" s="106" t="n"/>
      <c r="D40" s="106" t="n"/>
      <c r="E40" s="106" t="n"/>
      <c r="F40" s="106" t="n"/>
      <c r="G40" s="1" t="n"/>
    </row>
    <row r="41" ht="30" customHeight="1">
      <c r="A41" s="1" t="n"/>
      <c r="B41" s="107" t="inlineStr">
        <is>
          <t>Rubro</t>
        </is>
      </c>
      <c r="C41" s="107" t="inlineStr">
        <is>
          <t>Cómo se calcula</t>
        </is>
      </c>
      <c r="D41" s="107" t="inlineStr">
        <is>
          <t>Valor</t>
        </is>
      </c>
      <c r="E41" s="107" t="inlineStr">
        <is>
          <t>Para qué es</t>
        </is>
      </c>
      <c r="F41" s="108" t="n"/>
      <c r="G41" s="1" t="n"/>
    </row>
    <row r="42" ht="28.0545" customHeight="1">
      <c r="A42" s="1" t="n"/>
      <c r="B42" s="109" t="inlineStr">
        <is>
          <t>ACTIVOS TANGIBLES</t>
        </is>
      </c>
      <c r="C42" s="110" t="inlineStr"/>
      <c r="D42" s="110" t="inlineStr"/>
      <c r="E42" s="110" t="inlineStr"/>
      <c r="F42" s="93" t="n"/>
      <c r="G42" s="1" t="n"/>
    </row>
    <row r="43" ht="28.0545" customHeight="1">
      <c r="A43" s="1" t="n"/>
      <c r="B43" s="19" t="inlineStr">
        <is>
          <t>Aparatos para los hogares</t>
        </is>
      </c>
      <c r="C43" s="20" t="inlineStr">
        <is>
          <t>12,000 aparatos × $258,044</t>
        </is>
      </c>
      <c r="D43" s="27" t="n">
        <v>3096528000</v>
      </c>
      <c r="E43" s="20" t="inlineStr">
        <is>
          <t>Es el rubro más grande. Queda en propiedad de cada familia, y por eso es una entrega y no un préstamo.</t>
        </is>
      </c>
      <c r="F43" s="93" t="n"/>
      <c r="G43" s="1" t="n"/>
    </row>
    <row r="44" ht="44.309" customHeight="1">
      <c r="A44" s="1" t="n"/>
      <c r="B44" s="21" t="inlineStr">
        <is>
          <t>Aparatos para los establecimientos</t>
        </is>
      </c>
      <c r="C44" s="22" t="inlineStr">
        <is>
          <t>346 aparatos × $3,853,145</t>
        </is>
      </c>
      <c r="D44" s="28" t="n">
        <v>1333188170</v>
      </c>
      <c r="E44" s="22" t="inlineStr">
        <is>
          <t>Se entregan en comodato: siguen siendo del programa, que responde por el mantenimiento. El detalle del equipo está en la hoja 5.</t>
        </is>
      </c>
      <c r="F44" s="93" t="n"/>
      <c r="G44" s="1" t="n"/>
    </row>
    <row r="45" ht="28.0545" customHeight="1">
      <c r="A45" s="1" t="n"/>
      <c r="B45" s="19" t="inlineStr">
        <is>
          <t>Contenedores rodantes de repuesto</t>
        </is>
      </c>
      <c r="C45" s="20" t="inlineStr">
        <is>
          <t>692 contenedores × $205,000</t>
        </is>
      </c>
      <c r="D45" s="27" t="n">
        <v>141860000</v>
      </c>
      <c r="E45" s="20" t="inlineStr">
        <is>
          <t>Dos por establecimiento, para dejar uno limpio y llevarse el lleno en cada visita.</t>
        </is>
      </c>
      <c r="F45" s="93" t="n"/>
      <c r="G45" s="1" t="n"/>
    </row>
    <row r="46" ht="44.309" customHeight="1">
      <c r="A46" s="1" t="n"/>
      <c r="B46" s="21" t="inlineStr">
        <is>
          <t>Planta de compostaje</t>
        </is>
      </c>
      <c r="C46" s="22" t="inlineStr">
        <is>
          <t>Planta de 15 toneladas diarias, llave en mano</t>
        </is>
      </c>
      <c r="D46" s="28" t="n">
        <v>1400000000</v>
      </c>
      <c r="E46" s="22" t="inlineStr">
        <is>
          <t>Obra civil, cubierta, área de pilas, zona de maduración, tamizadora, minicargador y báscula, para 15 toneladas diarias.</t>
        </is>
      </c>
      <c r="F46" s="93" t="n"/>
      <c r="G46" s="1" t="n"/>
    </row>
    <row r="47" ht="28.0545" customHeight="1">
      <c r="A47" s="1" t="n"/>
      <c r="B47" s="19" t="inlineStr">
        <is>
          <t>Flota de recolección</t>
        </is>
      </c>
      <c r="C47" s="20" t="inlineStr">
        <is>
          <t>6 vehículos × $110,000,000</t>
        </is>
      </c>
      <c r="D47" s="27" t="n">
        <v>660000000</v>
      </c>
      <c r="E47" s="20" t="inlineStr">
        <is>
          <t>Dos vehículos para la ruta de hogares, tres para la de establecimientos y uno de reserva.</t>
        </is>
      </c>
      <c r="F47" s="93" t="n"/>
      <c r="G47" s="1" t="n"/>
    </row>
    <row r="48" ht="28.0545" customHeight="1">
      <c r="A48" s="1" t="n"/>
      <c r="B48" s="21" t="inlineStr">
        <is>
          <t>Red de antenas propias</t>
        </is>
      </c>
      <c r="C48" s="22" t="inlineStr">
        <is>
          <t>12 antenas × $3,565,000</t>
        </is>
      </c>
      <c r="D48" s="28" t="n">
        <v>42780000</v>
      </c>
      <c r="E48" s="22" t="inlineStr">
        <is>
          <t>Permite que los aparatos avisen sin usar la conexión de nadie. La misma red sirve a las dos líneas.</t>
        </is>
      </c>
      <c r="F48" s="93" t="n"/>
      <c r="G48" s="1" t="n"/>
    </row>
    <row r="49" ht="28.0545" customHeight="1">
      <c r="A49" s="1" t="n"/>
      <c r="B49" s="19" t="inlineStr">
        <is>
          <t>Equipos de planta y laboratorio</t>
        </is>
      </c>
      <c r="C49" s="20" t="inlineStr">
        <is>
          <t>Báscula de camiones, zaranda, medidores y herramienta</t>
        </is>
      </c>
      <c r="D49" s="27" t="n">
        <v>35000000</v>
      </c>
      <c r="E49" s="20" t="inlineStr">
        <is>
          <t>Para pesar lo que entra y controlar la calidad de cada lote, que es lo que exige el registro ICA.</t>
        </is>
      </c>
      <c r="F49" s="93" t="n"/>
      <c r="G49" s="1" t="n"/>
    </row>
    <row r="50" ht="60.5635" customHeight="1">
      <c r="A50" s="1" t="n"/>
      <c r="B50" s="21" t="inlineStr">
        <is>
          <t>Inventario de aparatos de reserva</t>
        </is>
      </c>
      <c r="C50" s="22" t="inlineStr">
        <is>
          <t>360 domésticos × $258,044 + 10 comerciales × $3,853,145</t>
        </is>
      </c>
      <c r="D50" s="28" t="n">
        <v>131427290</v>
      </c>
      <c r="E50" s="22" t="inlineStr">
        <is>
          <t>360 aparatos domésticos y 10 comerciales guardados en bodega, el 3 % de cada parque. Son los que permiten que un equipo averiado se cambie el mismo día en que se reporta, sin que la familia se quede sin servicio. El averiado va al taller, se repara y vuelve al inventario.</t>
        </is>
      </c>
      <c r="F50" s="93" t="n"/>
      <c r="G50" s="1" t="n"/>
    </row>
    <row r="51" ht="22" customHeight="1">
      <c r="A51" s="1" t="n"/>
      <c r="B51" s="111" t="inlineStr">
        <is>
          <t>Subtotal · Activos tangibles</t>
        </is>
      </c>
      <c r="C51" s="112" t="n"/>
      <c r="D51" s="113">
        <f>SUM(D43:D50)</f>
        <v/>
      </c>
      <c r="E51" s="112" t="inlineStr"/>
      <c r="F51" s="112" t="n"/>
      <c r="G51" s="1" t="n"/>
    </row>
    <row r="52" ht="28.0545" customHeight="1">
      <c r="A52" s="1" t="n"/>
      <c r="B52" s="109" t="inlineStr">
        <is>
          <t>ACTIVOS INTANGIBLES</t>
        </is>
      </c>
      <c r="C52" s="110" t="inlineStr"/>
      <c r="D52" s="110" t="inlineStr"/>
      <c r="E52" s="110" t="inlineStr"/>
      <c r="F52" s="93" t="n"/>
      <c r="G52" s="1" t="n"/>
    </row>
    <row r="53" ht="28.0545" customHeight="1">
      <c r="A53" s="1" t="n"/>
      <c r="B53" s="19" t="inlineStr">
        <is>
          <t>Plataforma informática</t>
        </is>
      </c>
      <c r="C53" s="20" t="inlineStr">
        <is>
          <t>Equipo de siete personas durante seis meses</t>
        </is>
      </c>
      <c r="D53" s="27" t="n">
        <v>346100000</v>
      </c>
      <c r="E53" s="20" t="inlineStr">
        <is>
          <t>Recibe los avisos, arma las rutas, lleva los puntos de cada hogar y produce los reportes.</t>
        </is>
      </c>
      <c r="F53" s="93" t="n"/>
      <c r="G53" s="1" t="n"/>
    </row>
    <row r="54" ht="44.309" customHeight="1">
      <c r="A54" s="1" t="n"/>
      <c r="B54" s="21" t="inlineStr">
        <is>
          <t>Registro ante el ICA</t>
        </is>
      </c>
      <c r="C54" s="22" t="inlineStr">
        <is>
          <t>Registro de productor y de producto, con análisis de laboratorio</t>
        </is>
      </c>
      <c r="D54" s="28" t="n">
        <v>8000000</v>
      </c>
      <c r="E54" s="22" t="inlineStr">
        <is>
          <t>Sin este registro el abono no se puede vender legalmente en Colombia.</t>
        </is>
      </c>
      <c r="F54" s="93" t="n"/>
      <c r="G54" s="1" t="n"/>
    </row>
    <row r="55" ht="44.309" customHeight="1">
      <c r="A55" s="1" t="n"/>
      <c r="B55" s="19" t="inlineStr">
        <is>
          <t>Ensayos previos al despliegue</t>
        </is>
      </c>
      <c r="C55" s="20" t="inlineStr">
        <is>
          <t>Pruebas de molido, panel de olor y medición de cobertura</t>
        </is>
      </c>
      <c r="D55" s="27" t="n">
        <v>31000000</v>
      </c>
      <c r="E55" s="20" t="inlineStr">
        <is>
          <t>Comprueban en campo, antes de fabricar en serie, que el molido funciona, que no hay olor y que la señal llega.</t>
        </is>
      </c>
      <c r="F55" s="93" t="n"/>
      <c r="G55" s="1" t="n"/>
    </row>
    <row r="56" ht="22" customHeight="1">
      <c r="A56" s="1" t="n"/>
      <c r="B56" s="111" t="inlineStr">
        <is>
          <t>Subtotal · Activos intangibles</t>
        </is>
      </c>
      <c r="C56" s="112" t="n"/>
      <c r="D56" s="113">
        <f>SUM(D53:D55)</f>
        <v/>
      </c>
      <c r="E56" s="112" t="inlineStr"/>
      <c r="F56" s="112" t="n"/>
      <c r="G56" s="1" t="n"/>
    </row>
    <row r="57" ht="28.0545" customHeight="1">
      <c r="A57" s="1" t="n"/>
      <c r="B57" s="109" t="inlineStr">
        <is>
          <t>CAPITAL DE TRABAJO</t>
        </is>
      </c>
      <c r="C57" s="110" t="inlineStr"/>
      <c r="D57" s="110" t="inlineStr"/>
      <c r="E57" s="110" t="inlineStr"/>
      <c r="F57" s="93" t="n"/>
      <c r="G57" s="1" t="n"/>
    </row>
    <row r="58" ht="28.0545" customHeight="1">
      <c r="A58" s="1" t="n"/>
      <c r="B58" s="21" t="inlineStr">
        <is>
          <t>Capital de trabajo</t>
        </is>
      </c>
      <c r="C58" s="22" t="inlineStr">
        <is>
          <t>Dos meses de costos de operación</t>
        </is>
      </c>
      <c r="D58" s="28" t="n">
        <v>469864000</v>
      </c>
      <c r="E58" s="22" t="inlineStr">
        <is>
          <t>No es un gasto: es dinero que hay que tener mientras entra el primer pago, y que después rota.</t>
        </is>
      </c>
      <c r="F58" s="93" t="n"/>
      <c r="G58" s="1" t="n"/>
    </row>
    <row r="59" ht="22" customHeight="1">
      <c r="A59" s="1" t="n"/>
      <c r="B59" s="111" t="inlineStr">
        <is>
          <t>Subtotal · Capital de trabajo</t>
        </is>
      </c>
      <c r="C59" s="112" t="n"/>
      <c r="D59" s="113">
        <f>SUM(D58:D58)</f>
        <v/>
      </c>
      <c r="E59" s="112" t="inlineStr"/>
      <c r="F59" s="112" t="n"/>
      <c r="G59" s="1" t="n"/>
    </row>
    <row r="60" ht="27.19899999999999" customHeight="1">
      <c r="A60" s="1" t="n"/>
      <c r="B60" s="114" t="inlineStr">
        <is>
          <t>TOTAL QUE HAY QUE CONSEGUIR PARA ARRANCAR</t>
        </is>
      </c>
      <c r="C60" s="115" t="n"/>
      <c r="D60" s="116">
        <f>D51+D56+D59</f>
        <v/>
      </c>
      <c r="E60" s="117" t="inlineStr">
        <is>
          <t>Suma de los tres subtotales. Se compromete por etapas, no de una sola vez.</t>
        </is>
      </c>
      <c r="F60" s="115" t="n"/>
      <c r="G60" s="1" t="n"/>
    </row>
    <row r="61" ht="10" customHeight="1">
      <c r="A61" s="1" t="n"/>
      <c r="B61" s="1" t="n"/>
      <c r="C61" s="1" t="n"/>
      <c r="D61" s="1" t="n"/>
      <c r="E61" s="1" t="n"/>
      <c r="F61" s="1" t="n"/>
      <c r="G61" s="1" t="n"/>
    </row>
    <row r="62" ht="20" customHeight="1">
      <c r="A62" s="1" t="n"/>
      <c r="B62" s="106" t="inlineStr">
        <is>
          <t>3.2  De dónde sale ese dinero</t>
        </is>
      </c>
      <c r="C62" s="106" t="n"/>
      <c r="D62" s="106" t="n"/>
      <c r="E62" s="106" t="n"/>
      <c r="F62" s="106" t="n"/>
      <c r="G62" s="1" t="n"/>
    </row>
    <row r="63" ht="34.22" customHeight="1">
      <c r="A63" s="1" t="n"/>
      <c r="B63" s="118" t="inlineStr">
        <is>
          <t>Ninguna de estas fuentes está asegurada: todas son convocatorias a las que hay que presentarse y competir. Lo que sí está hecho es la tarea de identificarlas, verificar que existen hoy y que el proyecto cumple sus requisitos.</t>
        </is>
      </c>
      <c r="C63" s="118" t="n"/>
      <c r="D63" s="118" t="n"/>
      <c r="E63" s="118" t="n"/>
      <c r="F63" s="118" t="n"/>
      <c r="G63" s="1" t="n"/>
    </row>
    <row r="64" ht="30" customHeight="1">
      <c r="A64" s="1" t="n"/>
      <c r="B64" s="18" t="inlineStr">
        <is>
          <t>Fuente</t>
        </is>
      </c>
      <c r="C64" s="18" t="inlineStr">
        <is>
          <t>Qué es y cómo se accede</t>
        </is>
      </c>
      <c r="D64" s="18" t="inlineStr">
        <is>
          <t>Aporta</t>
        </is>
      </c>
      <c r="E64" s="18" t="inlineStr">
        <is>
          <t>Para qué rubro</t>
        </is>
      </c>
      <c r="F64" s="99" t="n"/>
      <c r="G64" s="1" t="n"/>
    </row>
    <row r="65" ht="125.5815" customHeight="1">
      <c r="A65" s="1" t="n"/>
      <c r="B65" s="19" t="inlineStr">
        <is>
          <t>Incentivo al Aprovechamiento y Tratamiento</t>
        </is>
      </c>
      <c r="C65" s="20" t="inlineStr">
        <is>
          <t>Fondo creado por el Decreto 2412 de 2018, que se nutre de un recargo sobre la tarifa de disposición final de toda la ciudad y que solo puede destinarse a infraestructura de aprovechamiento y tratamiento. En Bogotá mueve unos $34,600 millones al año, de modo que esta solicitud es el 5.8 % del fondo. Se accede por convocatoria del Ministerio de Vivienda.</t>
        </is>
      </c>
      <c r="D65" s="119" t="n">
        <v>2000000000</v>
      </c>
      <c r="E65" s="47" t="inlineStr">
        <is>
          <t>Planta de compostaje, equipos de planta y parte de los aparatos</t>
        </is>
      </c>
      <c r="F65" s="93" t="n"/>
      <c r="G65" s="1" t="n"/>
    </row>
    <row r="66" ht="125.5815" customHeight="1">
      <c r="A66" s="1" t="n"/>
      <c r="B66" s="21" t="inlineStr">
        <is>
          <t>Patrocinio empresarial con descuento de renta</t>
        </is>
      </c>
      <c r="C66" s="22" t="inlineStr">
        <is>
          <t>El artículo 255 del Estatuto Tributario permite descontar del impuesto de renta el 25 % de lo invertido en control y mejoramiento del medio ambiente, previa certificación de la autoridad ambiental. Una empresa que ponga $2,000 millones recupera $500 millones en su declaracion, de modo que el costo real para ella es de $1,500 millones.</t>
        </is>
      </c>
      <c r="D66" s="120" t="n">
        <v>2000000000</v>
      </c>
      <c r="E66" s="49" t="inlineStr">
        <is>
          <t>Aparatos para los hogares</t>
        </is>
      </c>
      <c r="F66" s="93" t="n"/>
      <c r="G66" s="1" t="n"/>
    </row>
    <row r="67" ht="76.81799999999998" customHeight="1">
      <c r="A67" s="1" t="n"/>
      <c r="B67" s="19" t="inlineStr">
        <is>
          <t>Fondo de Desarrollo Local de Usme</t>
        </is>
      </c>
      <c r="C67" s="20" t="inlineStr">
        <is>
          <t>Presupuesto de inversión de la localidad, con su propio plan de desarrollo 2025-2028 aprobado. Se accede presentando el proyecto a la Alcaldía Local y al Consejo de Planeación Local.</t>
        </is>
      </c>
      <c r="D67" s="119" t="n">
        <v>1500000000</v>
      </c>
      <c r="E67" s="47" t="inlineStr">
        <is>
          <t>Aparatos para los establecimientos y contenedores</t>
        </is>
      </c>
      <c r="F67" s="93" t="n"/>
      <c r="G67" s="1" t="n"/>
    </row>
    <row r="68" ht="76.81799999999998" customHeight="1">
      <c r="A68" s="1" t="n"/>
      <c r="B68" s="21" t="inlineStr">
        <is>
          <t>Crédito de la línea sostenible de Bancóldex</t>
        </is>
      </c>
      <c r="C68" s="22" t="inlineStr">
        <is>
          <t>Crédito de redescuento para inversión ambiental, a diez años. Es la única fuente que hay que devolver, y por eso se reserva para los activos que se pueden dar en garantía: la flota y la plataforma.</t>
        </is>
      </c>
      <c r="D68" s="120" t="n">
        <v>1400000000</v>
      </c>
      <c r="E68" s="49" t="inlineStr">
        <is>
          <t>Flota de recolección y plataforma informática</t>
        </is>
      </c>
      <c r="F68" s="93" t="n"/>
      <c r="G68" s="1" t="n"/>
    </row>
    <row r="69" ht="60.5635" customHeight="1">
      <c r="A69" s="1" t="n"/>
      <c r="B69" s="19" t="inlineStr">
        <is>
          <t>Fondo Emprender del SENA</t>
        </is>
      </c>
      <c r="C69" s="20" t="inlineStr">
        <is>
          <t>Capital semilla que no se devuelve si se cumplen las metas de empleo formal comprometidas. El proyecto crea 30 empleos directos, muy por encima del umbral.</t>
        </is>
      </c>
      <c r="D69" s="119" t="n">
        <v>500000000</v>
      </c>
      <c r="E69" s="47" t="inlineStr">
        <is>
          <t>Capital de trabajo del primer año</t>
        </is>
      </c>
      <c r="F69" s="93" t="n"/>
      <c r="G69" s="1" t="n"/>
    </row>
    <row r="70" ht="93.07249999999999" customHeight="1">
      <c r="A70" s="1" t="n"/>
      <c r="B70" s="21" t="inlineStr">
        <is>
          <t>BID Lab y cooperación técnica</t>
        </is>
      </c>
      <c r="C70" s="22" t="inlineStr">
        <is>
          <t>Convocatoria del Banco Interamericano de Desarrollo para gestión de residuos, que aporta hasta 200,000 dólares para estudios de preinversión y puesta en marcha. Cubre exactamente lo que falta después de las demás fuentes.</t>
        </is>
      </c>
      <c r="D70" s="120" t="n">
        <v>295747460</v>
      </c>
      <c r="E70" s="49" t="inlineStr">
        <is>
          <t>Ensayos previos, registro ICA y red de antenas</t>
        </is>
      </c>
      <c r="F70" s="93" t="n"/>
      <c r="G70" s="1" t="n"/>
    </row>
    <row r="71" ht="27.19899999999999" customHeight="1">
      <c r="A71" s="1" t="n"/>
      <c r="B71" s="121" t="inlineStr">
        <is>
          <t>TOTAL DE LA FINANCIACIÓN</t>
        </is>
      </c>
      <c r="C71" s="122" t="n"/>
      <c r="D71" s="123">
        <f>SUM(D65:D70)</f>
        <v/>
      </c>
      <c r="E71" s="124" t="inlineStr">
        <is>
          <t>Tiene que ser igual al total de la sección 3.1, y lo es.</t>
        </is>
      </c>
      <c r="F71" s="122" t="n"/>
      <c r="G71" s="1" t="n"/>
    </row>
    <row r="72" ht="27.19899999999999" customHeight="1">
      <c r="A72" s="1" t="n"/>
      <c r="B72" s="125" t="inlineStr">
        <is>
          <t>DIFERENCIA ENTRE LO QUE CUESTA Y LO QUE SE CONSIGUE</t>
        </is>
      </c>
      <c r="C72" s="126" t="n"/>
      <c r="D72" s="127">
        <f>D71-D60</f>
        <v/>
      </c>
      <c r="E72" s="128" t="inlineStr">
        <is>
          <t>Si esta celda no da cero, el montaje no está financiado.</t>
        </is>
      </c>
      <c r="F72" s="126" t="n"/>
      <c r="G72" s="1" t="n"/>
    </row>
    <row r="73" ht="14" customHeight="1">
      <c r="A73" s="1" t="n"/>
      <c r="B73" s="1" t="n"/>
      <c r="C73" s="1" t="n"/>
      <c r="D73" s="1" t="n"/>
      <c r="E73" s="1" t="n"/>
      <c r="F73" s="1" t="n"/>
      <c r="G73" s="1" t="n"/>
    </row>
    <row r="74" ht="26" customHeight="1">
      <c r="A74" s="1" t="n"/>
      <c r="B74" s="88" t="inlineStr">
        <is>
          <t>4.   Fase 2 · La operación: qué se paga cada año y con qué</t>
        </is>
      </c>
      <c r="C74" s="88" t="n"/>
      <c r="D74" s="88" t="n"/>
      <c r="E74" s="88" t="n"/>
      <c r="F74" s="88" t="n"/>
      <c r="G74" s="1" t="n"/>
    </row>
    <row r="75" ht="46.02" customHeight="1">
      <c r="A75" s="1" t="n"/>
      <c r="B75" s="15" t="inlineStr">
        <is>
          <t>Una vez montado, el proyecto tiene que sostenerse todos los años. Aquí está el mismo ejercicio: en qué se gasta y de dónde sale. Los costos van agrupados por bloques para que se vea con claridad cuánto cuesta recoger, cuánto se le entrega a cada usuario y cuánto cuesta la planta.</t>
        </is>
      </c>
      <c r="C75" s="15" t="n"/>
      <c r="D75" s="15" t="n"/>
      <c r="E75" s="15" t="n"/>
      <c r="F75" s="15" t="n"/>
      <c r="G75" s="1" t="n"/>
    </row>
    <row r="76" ht="20" customHeight="1">
      <c r="A76" s="1" t="n"/>
      <c r="B76" s="106" t="inlineStr">
        <is>
          <t>4.1  En qué se gasta cada año</t>
        </is>
      </c>
      <c r="C76" s="106" t="n"/>
      <c r="D76" s="106" t="n"/>
      <c r="E76" s="106" t="n"/>
      <c r="F76" s="106" t="n"/>
      <c r="G76" s="1" t="n"/>
    </row>
    <row r="77" ht="30" customHeight="1">
      <c r="A77" s="1" t="n"/>
      <c r="B77" s="107" t="inlineStr">
        <is>
          <t>Rubro</t>
        </is>
      </c>
      <c r="C77" s="107" t="inlineStr">
        <is>
          <t>Cómo se calcula</t>
        </is>
      </c>
      <c r="D77" s="107" t="inlineStr">
        <is>
          <t>Valor al año</t>
        </is>
      </c>
      <c r="E77" s="107" t="inlineStr">
        <is>
          <t>Qué cubre</t>
        </is>
      </c>
      <c r="F77" s="108" t="n"/>
      <c r="G77" s="1" t="n"/>
    </row>
    <row r="78" ht="28.0545" customHeight="1">
      <c r="A78" s="1" t="n"/>
      <c r="B78" s="109" t="inlineStr">
        <is>
          <t>LÍNEA HOGARES</t>
        </is>
      </c>
      <c r="C78" s="110" t="inlineStr"/>
      <c r="D78" s="110" t="inlineStr"/>
      <c r="E78" s="110" t="inlineStr"/>
      <c r="F78" s="93" t="n"/>
      <c r="G78" s="1" t="n"/>
    </row>
    <row r="79" ht="28.0545" customHeight="1">
      <c r="A79" s="1" t="n"/>
      <c r="B79" s="109" t="inlineStr">
        <is>
          <t>RECOGER EN LOS 12,000 HOGARES</t>
        </is>
      </c>
      <c r="C79" s="110" t="inlineStr"/>
      <c r="D79" s="110" t="inlineStr"/>
      <c r="E79" s="110" t="inlineStr"/>
      <c r="F79" s="93" t="n"/>
      <c r="G79" s="1" t="n"/>
    </row>
    <row r="80" ht="44.309" customHeight="1">
      <c r="A80" s="1" t="n"/>
      <c r="B80" s="19" t="inlineStr">
        <is>
          <t>Personal de la ruta domiciliaria</t>
        </is>
      </c>
      <c r="C80" s="20" t="inlineStr">
        <is>
          <t>(2 conductores × $3,398,595 + 4 operarios × $2,764,188) × 12 meses</t>
        </is>
      </c>
      <c r="D80" s="27" t="n">
        <v>214247304</v>
      </c>
      <c r="E80" s="20" t="inlineStr">
        <is>
          <t>Dos conductores y cuatro operarios recogiendo casa por casa cada quince días. La recolección domiciliaria es trabajo de gente, y por eso pesa tanto.</t>
        </is>
      </c>
      <c r="F80" s="93" t="n"/>
      <c r="G80" s="1" t="n"/>
    </row>
    <row r="81" ht="28.0545" customHeight="1">
      <c r="A81" s="1" t="n"/>
      <c r="B81" s="21" t="inlineStr">
        <is>
          <t>Combustible y mantenimiento de la flota domiciliaria</t>
        </is>
      </c>
      <c r="C81" s="22" t="inlineStr">
        <is>
          <t>35,000 kilómetros × $2,400 por kilómetro</t>
        </is>
      </c>
      <c r="D81" s="28" t="n">
        <v>84000000</v>
      </c>
      <c r="E81" s="22" t="inlineStr">
        <is>
          <t>Diésel, aceites, llantas y reparaciones de los dos vehículos de la ruta de hogares.</t>
        </is>
      </c>
      <c r="F81" s="93" t="n"/>
      <c r="G81" s="1" t="n"/>
    </row>
    <row r="82" ht="28.0545" customHeight="1">
      <c r="A82" s="1" t="n"/>
      <c r="B82" s="19" t="inlineStr">
        <is>
          <t>Seguros y revisión de la flota domiciliaria</t>
        </is>
      </c>
      <c r="C82" s="20" t="inlineStr">
        <is>
          <t>2 vehículos × $8,000,000</t>
        </is>
      </c>
      <c r="D82" s="27" t="n">
        <v>16000000</v>
      </c>
      <c r="E82" s="20" t="inlineStr">
        <is>
          <t>Pólizas obligatorias y revisión anual.</t>
        </is>
      </c>
      <c r="F82" s="93" t="n"/>
      <c r="G82" s="1" t="n"/>
    </row>
    <row r="83" ht="22" customHeight="1">
      <c r="A83" s="1" t="n"/>
      <c r="B83" s="129" t="inlineStr">
        <is>
          <t>Subtotal · Recoger en los 12,000 hogares</t>
        </is>
      </c>
      <c r="C83" s="130" t="n"/>
      <c r="D83" s="131">
        <f>SUM(D80:D82)</f>
        <v/>
      </c>
      <c r="E83" s="130" t="inlineStr"/>
      <c r="F83" s="130" t="n"/>
      <c r="G83" s="1" t="n"/>
    </row>
    <row r="84" ht="28.0545" customHeight="1">
      <c r="A84" s="1" t="n"/>
      <c r="B84" s="109" t="inlineStr">
        <is>
          <t>LO QUE SE LE ENTREGA A CADA HOGAR</t>
        </is>
      </c>
      <c r="C84" s="110" t="inlineStr"/>
      <c r="D84" s="110" t="inlineStr"/>
      <c r="E84" s="110" t="inlineStr"/>
      <c r="F84" s="93" t="n"/>
      <c r="G84" s="1" t="n"/>
    </row>
    <row r="85" ht="28.0545" customHeight="1">
      <c r="A85" s="1" t="n"/>
      <c r="B85" s="19" t="inlineStr">
        <is>
          <t>Bolsas compostables que recibe la familia</t>
        </is>
      </c>
      <c r="C85" s="20" t="inlineStr">
        <is>
          <t>12,000 hogares × 26 bolsas × $300</t>
        </is>
      </c>
      <c r="D85" s="27" t="n">
        <v>93600000</v>
      </c>
      <c r="E85" s="20" t="inlineStr">
        <is>
          <t>26 bolsas al año por hogar, una por cada recolección quincenal. La familia nunca compra una.</t>
        </is>
      </c>
      <c r="F85" s="93" t="n"/>
      <c r="G85" s="1" t="n"/>
    </row>
    <row r="86" ht="28.0545" customHeight="1">
      <c r="A86" s="1" t="n"/>
      <c r="B86" s="21" t="inlineStr">
        <is>
          <t>Cartucho de carbón que recibe la familia</t>
        </is>
      </c>
      <c r="C86" s="22" t="inlineStr">
        <is>
          <t>12,000 hogares × 1 cartucho × $6,500</t>
        </is>
      </c>
      <c r="D86" s="28" t="n">
        <v>78000000</v>
      </c>
      <c r="E86" s="22" t="inlineStr">
        <is>
          <t>Un cartucho al año por hogar, que cambia el operario durante la ruta. Es el que evita el olor.</t>
        </is>
      </c>
      <c r="F86" s="93" t="n"/>
      <c r="G86" s="1" t="n"/>
    </row>
    <row r="87" ht="44.309" customHeight="1">
      <c r="A87" s="1" t="n"/>
      <c r="B87" s="19" t="inlineStr">
        <is>
          <t>Material seco que recibe la familia</t>
        </is>
      </c>
      <c r="C87" s="20" t="inlineStr">
        <is>
          <t>12,000 hogares × 6 kilos × $500</t>
        </is>
      </c>
      <c r="D87" s="27" t="n">
        <v>36000000</v>
      </c>
      <c r="E87" s="20" t="inlineStr">
        <is>
          <t>Seis kilos al año por hogar. Sale del material de poda del Distrito, así que solo se paga el transporte y el molido.</t>
        </is>
      </c>
      <c r="F87" s="93" t="n"/>
      <c r="G87" s="1" t="n"/>
    </row>
    <row r="88" ht="44.309" customHeight="1">
      <c r="A88" s="1" t="n"/>
      <c r="B88" s="21" t="inlineStr">
        <is>
          <t>Incentivo en dinero que recibe la familia</t>
        </is>
      </c>
      <c r="C88" s="22" t="inlineStr">
        <is>
          <t>12,000 hogares × $1,500 al mes × 12 meses</t>
        </is>
      </c>
      <c r="D88" s="28" t="n">
        <v>216000000</v>
      </c>
      <c r="E88" s="22" t="inlineStr">
        <is>
          <t>Hasta $1,500 al mes por hogar, abonados a su factura del acueducto según los kilos que entregue. Sin esto la gente no participa, y por eso es un costo del proyecto y no un extra.</t>
        </is>
      </c>
      <c r="F88" s="93" t="n"/>
      <c r="G88" s="1" t="n"/>
    </row>
    <row r="89" ht="22" customHeight="1">
      <c r="A89" s="1" t="n"/>
      <c r="B89" s="129" t="inlineStr">
        <is>
          <t>Subtotal · Lo que se le entrega a cada hogar</t>
        </is>
      </c>
      <c r="C89" s="130" t="n"/>
      <c r="D89" s="131">
        <f>SUM(D85:D88)</f>
        <v/>
      </c>
      <c r="E89" s="130" t="inlineStr"/>
      <c r="F89" s="130" t="n"/>
      <c r="G89" s="1" t="n"/>
    </row>
    <row r="90" ht="28.0545" customHeight="1">
      <c r="A90" s="1" t="n"/>
      <c r="B90" s="109" t="inlineStr">
        <is>
          <t>SOSTENER EL PARQUE Y ACOMPAÑAR A LAS FAMILIAS</t>
        </is>
      </c>
      <c r="C90" s="110" t="inlineStr"/>
      <c r="D90" s="110" t="inlineStr"/>
      <c r="E90" s="110" t="inlineStr"/>
      <c r="F90" s="93" t="n"/>
      <c r="G90" s="1" t="n"/>
    </row>
    <row r="91" ht="28.0545" customHeight="1">
      <c r="A91" s="1" t="n"/>
      <c r="B91" s="19" t="inlineStr">
        <is>
          <t>Reposición y reparación de aparatos del hogar</t>
        </is>
      </c>
      <c r="C91" s="20" t="inlineStr">
        <is>
          <t>2.5 % × $3,096,528,000 del parque instalado</t>
        </is>
      </c>
      <c r="D91" s="27" t="n">
        <v>77413200</v>
      </c>
      <c r="E91" s="20" t="inlineStr">
        <is>
          <t>Los equipos que fallan, se pierden o se dañan sin arreglo.</t>
        </is>
      </c>
      <c r="F91" s="93" t="n"/>
      <c r="G91" s="1" t="n"/>
    </row>
    <row r="92" ht="28.0545" customHeight="1">
      <c r="A92" s="1" t="n"/>
      <c r="B92" s="21" t="inlineStr">
        <is>
          <t>Gestores sociales de barrio</t>
        </is>
      </c>
      <c r="C92" s="22" t="inlineStr">
        <is>
          <t>4 gestores × $3,803,595 × 12 meses</t>
        </is>
      </c>
      <c r="D92" s="28" t="n">
        <v>182572560</v>
      </c>
      <c r="E92" s="22" t="inlineStr">
        <is>
          <t>Los que acompañan a las familias. Sin esto la separación se abandona hacia el tercer mes.</t>
        </is>
      </c>
      <c r="F92" s="93" t="n"/>
      <c r="G92" s="1" t="n"/>
    </row>
    <row r="93" ht="28.0545" customHeight="1">
      <c r="A93" s="1" t="n"/>
      <c r="B93" s="19" t="inlineStr">
        <is>
          <t>Jornadas, material pedagógico y comunicación</t>
        </is>
      </c>
      <c r="C93" s="20" t="inlineStr">
        <is>
          <t>Presupuesto anual de pedagogía y comunicación</t>
        </is>
      </c>
      <c r="D93" s="27" t="n">
        <v>90000000</v>
      </c>
      <c r="E93" s="20" t="inlineStr">
        <is>
          <t>Capacitación casa a casa, material impreso, asambleas y rendición de cuentas trimestral.</t>
        </is>
      </c>
      <c r="F93" s="93" t="n"/>
      <c r="G93" s="1" t="n"/>
    </row>
    <row r="94" ht="22" customHeight="1">
      <c r="A94" s="1" t="n"/>
      <c r="B94" s="129" t="inlineStr">
        <is>
          <t>Subtotal · Sostener el parque y acompañar a las familias</t>
        </is>
      </c>
      <c r="C94" s="130" t="n"/>
      <c r="D94" s="131">
        <f>SUM(D91:D93)</f>
        <v/>
      </c>
      <c r="E94" s="130" t="inlineStr"/>
      <c r="F94" s="130" t="n"/>
      <c r="G94" s="1" t="n"/>
    </row>
    <row r="95" ht="22" customHeight="1">
      <c r="A95" s="1" t="n"/>
      <c r="B95" s="111" t="inlineStr">
        <is>
          <t>SUBTOTAL DE LA LÍNEA HOGARES</t>
        </is>
      </c>
      <c r="C95" s="112" t="n"/>
      <c r="D95" s="113">
        <f>SUMIF(B79:B94,"Subtotal*",D79:D94)</f>
        <v/>
      </c>
      <c r="E95" s="112" t="inlineStr"/>
      <c r="F95" s="112" t="n"/>
      <c r="G95" s="1" t="n"/>
    </row>
    <row r="96" ht="28.0545" customHeight="1">
      <c r="A96" s="1" t="n"/>
      <c r="B96" s="109" t="inlineStr">
        <is>
          <t>LÍNEA ESTABLECIMIENTOS</t>
        </is>
      </c>
      <c r="C96" s="110" t="inlineStr"/>
      <c r="D96" s="110" t="inlineStr"/>
      <c r="E96" s="110" t="inlineStr"/>
      <c r="F96" s="93" t="n"/>
      <c r="G96" s="1" t="n"/>
    </row>
    <row r="97" ht="28.0545" customHeight="1">
      <c r="A97" s="1" t="n"/>
      <c r="B97" s="109" t="inlineStr">
        <is>
          <t>RECOGER EN LOS 346 ESTABLECIMIENTOS</t>
        </is>
      </c>
      <c r="C97" s="110" t="inlineStr"/>
      <c r="D97" s="110" t="inlineStr"/>
      <c r="E97" s="110" t="inlineStr"/>
      <c r="F97" s="93" t="n"/>
      <c r="G97" s="1" t="n"/>
    </row>
    <row r="98" ht="44.309" customHeight="1">
      <c r="A98" s="1" t="n"/>
      <c r="B98" s="19" t="inlineStr">
        <is>
          <t>Personal de la ruta comercial</t>
        </is>
      </c>
      <c r="C98" s="20" t="inlineStr">
        <is>
          <t>(3 conductores × $3,398,595 + 3 operarios × $2,764,188) × 12 meses</t>
        </is>
      </c>
      <c r="D98" s="27" t="n">
        <v>221860188</v>
      </c>
      <c r="E98" s="20" t="inlineStr">
        <is>
          <t>Tres conductores y tres operarios. Aquí se necesita menos gente por tonelada porque una sola parada rinde decenas de kilos.</t>
        </is>
      </c>
      <c r="F98" s="93" t="n"/>
      <c r="G98" s="1" t="n"/>
    </row>
    <row r="99" ht="28.0545" customHeight="1">
      <c r="A99" s="1" t="n"/>
      <c r="B99" s="21" t="inlineStr">
        <is>
          <t>Combustible y mantenimiento de la flota comercial</t>
        </is>
      </c>
      <c r="C99" s="22" t="inlineStr">
        <is>
          <t>54,000 kilómetros × $2,400 por kilómetro</t>
        </is>
      </c>
      <c r="D99" s="28" t="n">
        <v>129600000</v>
      </c>
      <c r="E99" s="22" t="inlineStr">
        <is>
          <t>Tres vehículos haciendo ruta seis días por semana.</t>
        </is>
      </c>
      <c r="F99" s="93" t="n"/>
      <c r="G99" s="1" t="n"/>
    </row>
    <row r="100" ht="28.0545" customHeight="1">
      <c r="A100" s="1" t="n"/>
      <c r="B100" s="19" t="inlineStr">
        <is>
          <t>Seguros y revisión de la flota comercial</t>
        </is>
      </c>
      <c r="C100" s="20" t="inlineStr">
        <is>
          <t>4 vehículos × $8,000,000</t>
        </is>
      </c>
      <c r="D100" s="27" t="n">
        <v>32000000</v>
      </c>
      <c r="E100" s="20" t="inlineStr">
        <is>
          <t>Pólizas y revisión de los vehículos comerciales.</t>
        </is>
      </c>
      <c r="F100" s="93" t="n"/>
      <c r="G100" s="1" t="n"/>
    </row>
    <row r="101" ht="22" customHeight="1">
      <c r="A101" s="1" t="n"/>
      <c r="B101" s="129" t="inlineStr">
        <is>
          <t>Subtotal · Recoger en los 346 establecimientos</t>
        </is>
      </c>
      <c r="C101" s="130" t="n"/>
      <c r="D101" s="131">
        <f>SUM(D98:D100)</f>
        <v/>
      </c>
      <c r="E101" s="130" t="inlineStr"/>
      <c r="F101" s="130" t="n"/>
      <c r="G101" s="1" t="n"/>
    </row>
    <row r="102" ht="28.0545" customHeight="1">
      <c r="A102" s="1" t="n"/>
      <c r="B102" s="109" t="inlineStr">
        <is>
          <t>LO QUE SE LE ENTREGA A CADA ESTABLECIMIENTO</t>
        </is>
      </c>
      <c r="C102" s="110" t="inlineStr"/>
      <c r="D102" s="110" t="inlineStr"/>
      <c r="E102" s="110" t="inlineStr"/>
      <c r="F102" s="93" t="n"/>
      <c r="G102" s="1" t="n"/>
    </row>
    <row r="103" ht="44.309" customHeight="1">
      <c r="A103" s="1" t="n"/>
      <c r="B103" s="19" t="inlineStr">
        <is>
          <t>Lavado e intercambio de los contenedores del establecimiento</t>
        </is>
      </c>
      <c r="C103" s="20" t="inlineStr">
        <is>
          <t>346 establecimientos × $260,000 al año</t>
        </is>
      </c>
      <c r="D103" s="27" t="n">
        <v>89960000</v>
      </c>
      <c r="E103" s="20" t="inlineStr">
        <is>
          <t>Los contenedores se lavan en planta después de cada uso. Es lo que reemplaza a las bolsas en esta línea, y corre por cuenta del programa.</t>
        </is>
      </c>
      <c r="F103" s="93" t="n"/>
      <c r="G103" s="1" t="n"/>
    </row>
    <row r="104" ht="44.309" customHeight="1">
      <c r="A104" s="1" t="n"/>
      <c r="B104" s="21" t="inlineStr">
        <is>
          <t>Mantenimiento y reposición del aparato en comodato</t>
        </is>
      </c>
      <c r="C104" s="22" t="inlineStr">
        <is>
          <t>3 % × $1,333,188,170 del parque instalado</t>
        </is>
      </c>
      <c r="D104" s="28" t="n">
        <v>39995645</v>
      </c>
      <c r="E104" s="22" t="inlineStr">
        <is>
          <t>El equipo sigue siendo del programa, que responde por el mantenimiento. El establecimiento no invierte un peso en el aparato.</t>
        </is>
      </c>
      <c r="F104" s="93" t="n"/>
      <c r="G104" s="1" t="n"/>
    </row>
    <row r="105" ht="22" customHeight="1">
      <c r="A105" s="1" t="n"/>
      <c r="B105" s="129" t="inlineStr">
        <is>
          <t>Subtotal · Lo que se le entrega a cada establecimiento</t>
        </is>
      </c>
      <c r="C105" s="130" t="n"/>
      <c r="D105" s="131">
        <f>SUM(D103:D104)</f>
        <v/>
      </c>
      <c r="E105" s="130" t="inlineStr"/>
      <c r="F105" s="130" t="n"/>
      <c r="G105" s="1" t="n"/>
    </row>
    <row r="106" ht="28.0545" customHeight="1">
      <c r="A106" s="1" t="n"/>
      <c r="B106" s="109" t="inlineStr">
        <is>
          <t>SERVICIO COMERCIAL</t>
        </is>
      </c>
      <c r="C106" s="110" t="inlineStr"/>
      <c r="D106" s="110" t="inlineStr"/>
      <c r="E106" s="110" t="inlineStr"/>
      <c r="F106" s="93" t="n"/>
      <c r="G106" s="1" t="n"/>
    </row>
    <row r="107" ht="28.0545" customHeight="1">
      <c r="A107" s="1" t="n"/>
      <c r="B107" s="19" t="inlineStr">
        <is>
          <t>Ejecutivos de cuenta y servicio al establecimiento</t>
        </is>
      </c>
      <c r="C107" s="20" t="inlineStr">
        <is>
          <t>2 personas × $3,803,595 × 12 meses</t>
        </is>
      </c>
      <c r="D107" s="27" t="n">
        <v>91286280</v>
      </c>
      <c r="E107" s="20" t="inlineStr">
        <is>
          <t>Quienes consiguen y mantienen a los establecimientos, y responden cuando algo falla en una cocina.</t>
        </is>
      </c>
      <c r="F107" s="93" t="n"/>
      <c r="G107" s="1" t="n"/>
    </row>
    <row r="108" ht="22" customHeight="1">
      <c r="A108" s="1" t="n"/>
      <c r="B108" s="129" t="inlineStr">
        <is>
          <t>Subtotal · Servicio comercial</t>
        </is>
      </c>
      <c r="C108" s="130" t="n"/>
      <c r="D108" s="131">
        <f>SUM(D107:D107)</f>
        <v/>
      </c>
      <c r="E108" s="130" t="inlineStr"/>
      <c r="F108" s="130" t="n"/>
      <c r="G108" s="1" t="n"/>
    </row>
    <row r="109" ht="22" customHeight="1">
      <c r="A109" s="1" t="n"/>
      <c r="B109" s="111" t="inlineStr">
        <is>
          <t>SUBTOTAL DE LA LÍNEA ESTABLECIMIENTOS</t>
        </is>
      </c>
      <c r="C109" s="112" t="n"/>
      <c r="D109" s="113">
        <f>SUMIF(B97:B108,"Subtotal*",D97:D108)</f>
        <v/>
      </c>
      <c r="E109" s="112" t="inlineStr"/>
      <c r="F109" s="112" t="n"/>
      <c r="G109" s="1" t="n"/>
    </row>
    <row r="110" ht="28.0545" customHeight="1">
      <c r="A110" s="1" t="n"/>
      <c r="B110" s="109" t="inlineStr">
        <is>
          <t>COSTOS COMUNES A LAS DOS LÍNEAS</t>
        </is>
      </c>
      <c r="C110" s="110" t="inlineStr"/>
      <c r="D110" s="110" t="inlineStr"/>
      <c r="E110" s="110" t="inlineStr"/>
      <c r="F110" s="93" t="n"/>
      <c r="G110" s="1" t="n"/>
    </row>
    <row r="111" ht="44.309" customHeight="1">
      <c r="A111" s="1" t="n"/>
      <c r="B111" s="19" t="inlineStr">
        <is>
          <t>Personal de planta</t>
        </is>
      </c>
      <c r="C111" s="20" t="inlineStr">
        <is>
          <t>(1 jefe × $4,514,495 + 6 operarios × $2,764,188) × 12 meses</t>
        </is>
      </c>
      <c r="D111" s="27" t="n">
        <v>253195476</v>
      </c>
      <c r="E111" s="20" t="inlineStr">
        <is>
          <t>Un jefe y seis operarios. El estudio del Ministerio de Vivienda encontró que las plantas colombianas operan en promedio con alrededor de seis empleados.</t>
        </is>
      </c>
      <c r="F111" s="93" t="n"/>
      <c r="G111" s="1" t="n"/>
    </row>
    <row r="112" ht="76.81799999999998" customHeight="1">
      <c r="A112" s="1" t="n"/>
      <c r="B112" s="21" t="inlineStr">
        <is>
          <t>Insumos y operación de la planta</t>
        </is>
      </c>
      <c r="C112" s="22" t="inlineStr">
        <is>
          <t>Energía, combustible, agua, monitoreo ambiental y mantenimiento, según la tabla 3.11 del estudio del Ministerio de Vivienda, escalada a este tamaño e indexada a 2026</t>
        </is>
      </c>
      <c r="D112" s="28" t="n">
        <v>95000000</v>
      </c>
      <c r="E112" s="22" t="inlineStr">
        <is>
          <t>Energía, combustible del minicargador, agua, monitoreo ambiental y mantenimiento.</t>
        </is>
      </c>
      <c r="F112" s="93" t="n"/>
      <c r="G112" s="1" t="n"/>
    </row>
    <row r="113" ht="44.309" customHeight="1">
      <c r="A113" s="1" t="n"/>
      <c r="B113" s="19" t="inlineStr">
        <is>
          <t>Arriendo del lote y la bodega</t>
        </is>
      </c>
      <c r="C113" s="20" t="inlineStr">
        <is>
          <t>3,500 metros cuadrados × $2,500 al mes × 12 meses</t>
        </is>
      </c>
      <c r="D113" s="27" t="n">
        <v>105000000</v>
      </c>
      <c r="E113" s="20" t="inlineStr">
        <is>
          <t>El predio donde se hace el compost, en suelo rural de Usme. Si el Distrito lo aporta, este rubro desaparece.</t>
        </is>
      </c>
      <c r="F113" s="93" t="n"/>
      <c r="G113" s="1" t="n"/>
    </row>
    <row r="114" ht="28.0545" customHeight="1">
      <c r="A114" s="1" t="n"/>
      <c r="B114" s="21" t="inlineStr">
        <is>
          <t>Operación de la red de antenas y el servidor</t>
        </is>
      </c>
      <c r="C114" s="22" t="inlineStr">
        <is>
          <t>(12 antenas × US$310 + US$1,800 de servidor) × $3,100</t>
        </is>
      </c>
      <c r="D114" s="28" t="n">
        <v>17112000</v>
      </c>
      <c r="E114" s="22" t="inlineStr">
        <is>
          <t>Energía, mantenimiento y soporte de las doce antenas y del servidor.</t>
        </is>
      </c>
      <c r="F114" s="93" t="n"/>
      <c r="G114" s="1" t="n"/>
    </row>
    <row r="115" ht="28.0545" customHeight="1">
      <c r="A115" s="1" t="n"/>
      <c r="B115" s="19" t="inlineStr">
        <is>
          <t>Nube y servicios de mapas</t>
        </is>
      </c>
      <c r="C115" s="20" t="inlineStr">
        <is>
          <t>(US$3,360 de nube + US$720 de mapas) × $3,100</t>
        </is>
      </c>
      <c r="D115" s="27" t="n">
        <v>12648000</v>
      </c>
      <c r="E115" s="20" t="inlineStr">
        <is>
          <t>Donde funciona la plataforma y el sistema de cálculo de rutas.</t>
        </is>
      </c>
      <c r="F115" s="93" t="n"/>
      <c r="G115" s="1" t="n"/>
    </row>
    <row r="116" ht="28.0545" customHeight="1">
      <c r="A116" s="1" t="n"/>
      <c r="B116" s="21" t="inlineStr">
        <is>
          <t>Mantenimiento y mejora de la plataforma</t>
        </is>
      </c>
      <c r="C116" s="22" t="inlineStr">
        <is>
          <t>2 desarrolladores de tiempo completo más soporte</t>
        </is>
      </c>
      <c r="D116" s="28" t="n">
        <v>90000000</v>
      </c>
      <c r="E116" s="22" t="inlineStr">
        <is>
          <t>Mantener el sistema funcionando y corrigiendo fallas.</t>
        </is>
      </c>
      <c r="F116" s="93" t="n"/>
      <c r="G116" s="1" t="n"/>
    </row>
    <row r="117" ht="28.0545" customHeight="1">
      <c r="A117" s="1" t="n"/>
      <c r="B117" s="19" t="inlineStr">
        <is>
          <t>Dirección y administración</t>
        </is>
      </c>
      <c r="C117" s="20" t="inlineStr">
        <is>
          <t>3 profesionales × $5,687,200 × 12 meses</t>
        </is>
      </c>
      <c r="D117" s="27" t="n">
        <v>204739200</v>
      </c>
      <c r="E117" s="20" t="inlineStr">
        <is>
          <t>La estructura que responde por el programa ante el Distrito y ante la comunidad.</t>
        </is>
      </c>
      <c r="F117" s="93" t="n"/>
      <c r="G117" s="1" t="n"/>
    </row>
    <row r="118" ht="28.0545" customHeight="1">
      <c r="A118" s="1" t="n"/>
      <c r="B118" s="21" t="inlineStr">
        <is>
          <t>Contabilidad, jurídico y reportes al Estado</t>
        </is>
      </c>
      <c r="C118" s="22" t="inlineStr">
        <is>
          <t>Presupuesto anual de servicios externos</t>
        </is>
      </c>
      <c r="D118" s="28" t="n">
        <v>70000000</v>
      </c>
      <c r="E118" s="22" t="inlineStr">
        <is>
          <t>Servicios externos y los reportes obligatorios a la Superintendencia de Servicios Públicos.</t>
        </is>
      </c>
      <c r="F118" s="93" t="n"/>
      <c r="G118" s="1" t="n"/>
    </row>
    <row r="119" ht="44.309" customHeight="1">
      <c r="A119" s="1" t="n"/>
      <c r="B119" s="19" t="inlineStr">
        <is>
          <t>Servicio de la deuda del crédito de Bancóldex</t>
        </is>
      </c>
      <c r="C119" s="20" t="inlineStr">
        <is>
          <t>Cuota anual que amortiza $1,400,000,000 en 10 años al 15.0 % efectivo anual</t>
        </is>
      </c>
      <c r="D119" s="27" t="n">
        <v>278952888</v>
      </c>
      <c r="E119" s="20" t="inlineStr">
        <is>
          <t>La cuota del único dinero de la inversión que hay que devolver. Amortiza capital e intereses en diez años y se paga con las mismas fuentes que financian el resto de la operación. El detalle está en la nota 4.</t>
        </is>
      </c>
      <c r="F119" s="93" t="n"/>
      <c r="G119" s="1" t="n"/>
    </row>
    <row r="120" ht="22" customHeight="1">
      <c r="A120" s="1" t="n"/>
      <c r="B120" s="111" t="inlineStr">
        <is>
          <t>SUBTOTAL DE LOS COSTOS COMUNES</t>
        </is>
      </c>
      <c r="C120" s="112" t="n"/>
      <c r="D120" s="113">
        <f>SUM(D111:D119)</f>
        <v/>
      </c>
      <c r="E120" s="112" t="inlineStr"/>
      <c r="F120" s="112" t="n"/>
      <c r="G120" s="1" t="n"/>
    </row>
    <row r="121" ht="27.19899999999999" customHeight="1">
      <c r="A121" s="1" t="n"/>
      <c r="B121" s="114" t="inlineStr">
        <is>
          <t>TOTAL QUE CUESTA OPERAR EL PROYECTO CADA AÑO</t>
        </is>
      </c>
      <c r="C121" s="115" t="n"/>
      <c r="D121" s="116">
        <f>D95+D109+D120</f>
        <v/>
      </c>
      <c r="E121" s="117" t="inlineStr">
        <is>
          <t>Suma de los tres subtotales: hogares, establecimientos y comunes.</t>
        </is>
      </c>
      <c r="F121" s="115" t="n"/>
      <c r="G121" s="1" t="n"/>
    </row>
    <row r="122" ht="10" customHeight="1">
      <c r="A122" s="1" t="n"/>
      <c r="B122" s="1" t="n"/>
      <c r="C122" s="1" t="n"/>
      <c r="D122" s="1" t="n"/>
      <c r="E122" s="1" t="n"/>
      <c r="F122" s="1" t="n"/>
      <c r="G122" s="1" t="n"/>
    </row>
    <row r="123" ht="20" customHeight="1">
      <c r="A123" s="1" t="n"/>
      <c r="B123" s="106" t="inlineStr">
        <is>
          <t>4.2  De dónde sale ese dinero cada año</t>
        </is>
      </c>
      <c r="C123" s="106" t="n"/>
      <c r="D123" s="106" t="n"/>
      <c r="E123" s="106" t="n"/>
      <c r="F123" s="106" t="n"/>
      <c r="G123" s="1" t="n"/>
    </row>
    <row r="124" ht="34.22" customHeight="1">
      <c r="A124" s="1" t="n"/>
      <c r="B124" s="118" t="inlineStr">
        <is>
          <t>El proyecto genera ingresos propios, pero no le alcanzan: cubren el 46.9 %. El resto tiene que salir de aportes públicos, igual que el resto del servicio de aseo, que hoy se subsidia en un 70 % para el estrato 1. Aquí está el detalle de cada peso.</t>
        </is>
      </c>
      <c r="C124" s="118" t="n"/>
      <c r="D124" s="118" t="n"/>
      <c r="E124" s="118" t="n"/>
      <c r="F124" s="118" t="n"/>
      <c r="G124" s="1" t="n"/>
    </row>
    <row r="125" ht="30" customHeight="1">
      <c r="A125" s="1" t="n"/>
      <c r="B125" s="18" t="inlineStr">
        <is>
          <t>Fuente</t>
        </is>
      </c>
      <c r="C125" s="18" t="inlineStr">
        <is>
          <t>Qué es y cómo se accede</t>
        </is>
      </c>
      <c r="D125" s="18" t="inlineStr">
        <is>
          <t>Aporta al año</t>
        </is>
      </c>
      <c r="E125" s="18" t="inlineStr">
        <is>
          <t>Para qué</t>
        </is>
      </c>
      <c r="F125" s="99" t="n"/>
      <c r="G125" s="1" t="n"/>
    </row>
    <row r="126" ht="60.5635" customHeight="1">
      <c r="A126" s="1" t="n"/>
      <c r="B126" s="101" t="inlineStr">
        <is>
          <t>Ingresos propios del proyecto</t>
        </is>
      </c>
      <c r="C126" s="102" t="inlineStr">
        <is>
          <t>El contrato de tratamiento con el Distrito, la tarifa que pagan los establecimientos y la venta del abono. Es el detalle de la sección 6.1.</t>
        </is>
      </c>
      <c r="D126" s="132">
        <f>D154</f>
        <v/>
      </c>
      <c r="E126" s="104" t="inlineStr">
        <is>
          <t>Cubre el 46.9 % de la operación</t>
        </is>
      </c>
      <c r="F126" s="93" t="n"/>
      <c r="G126" s="1" t="n"/>
    </row>
    <row r="127" ht="76.81799999999998" customHeight="1">
      <c r="A127" s="1" t="n"/>
      <c r="B127" s="21" t="inlineStr">
        <is>
          <t>Asignación anual del Incentivo al Aprovechamiento y Tratamiento</t>
        </is>
      </c>
      <c r="C127" s="22" t="inlineStr">
        <is>
          <t>El mismo fondo del Decreto 2412 de 2018, que además de infraestructura puede financiar la operación de sistemas de tratamiento. Son $900 millones al año sobre un fondo distrital de $34,600 millones: el 2.6 %.</t>
        </is>
      </c>
      <c r="D127" s="120" t="n">
        <v>900000000</v>
      </c>
      <c r="E127" s="49" t="inlineStr">
        <is>
          <t>Operación de la planta y de la ruta</t>
        </is>
      </c>
      <c r="F127" s="93" t="n"/>
      <c r="G127" s="1" t="n"/>
    </row>
    <row r="128" ht="60.5635" customHeight="1">
      <c r="A128" s="1" t="n"/>
      <c r="B128" s="19" t="inlineStr">
        <is>
          <t>Fondo de Desarrollo Local de Usme</t>
        </is>
      </c>
      <c r="C128" s="20" t="inlineStr">
        <is>
          <t>Aporte anual de la localidad al componente social y pedagógico del programa, que es el que sostiene la separación en el hogar.</t>
        </is>
      </c>
      <c r="D128" s="119" t="n">
        <v>450000000</v>
      </c>
      <c r="E128" s="47" t="inlineStr">
        <is>
          <t>Gestores sociales, jornadas y material pedagógico</t>
        </is>
      </c>
      <c r="F128" s="93" t="n"/>
      <c r="G128" s="1" t="n"/>
    </row>
    <row r="129" ht="76.81799999999998" customHeight="1">
      <c r="A129" s="1" t="n"/>
      <c r="B129" s="21" t="inlineStr">
        <is>
          <t>Presupuesto de la UAESP</t>
        </is>
      </c>
      <c r="C129" s="22" t="inlineStr">
        <is>
          <t>Lo que falta después de todo lo anterior lo aporta la entidad que responde por el servicio de aseo de la ciudad, con cargo al mismo rubro con el que hoy paga la disposición final de esas mismas toneladas.</t>
        </is>
      </c>
      <c r="D129" s="120" t="n">
        <v>148130629</v>
      </c>
      <c r="E129" s="49" t="inlineStr">
        <is>
          <t>Cierra el presupuesto anual</t>
        </is>
      </c>
      <c r="F129" s="93" t="n"/>
      <c r="G129" s="1" t="n"/>
    </row>
    <row r="130" ht="27.19899999999999" customHeight="1">
      <c r="A130" s="1" t="n"/>
      <c r="B130" s="121" t="inlineStr">
        <is>
          <t>TOTAL DE LA FINANCIACIÓN ANUAL</t>
        </is>
      </c>
      <c r="C130" s="122" t="n"/>
      <c r="D130" s="123">
        <f>SUM(D126:D129)</f>
        <v/>
      </c>
      <c r="E130" s="124" t="inlineStr">
        <is>
          <t>Tiene que ser igual al total de la sección 4.1, y lo es.</t>
        </is>
      </c>
      <c r="F130" s="122" t="n"/>
      <c r="G130" s="1" t="n"/>
    </row>
    <row r="131" ht="27.19899999999999" customHeight="1">
      <c r="A131" s="1" t="n"/>
      <c r="B131" s="125" t="inlineStr">
        <is>
          <t>DIFERENCIA ENTRE LO QUE CUESTA Y LO QUE SE CONSIGUE</t>
        </is>
      </c>
      <c r="C131" s="126" t="n"/>
      <c r="D131" s="127">
        <f>D130-D121</f>
        <v/>
      </c>
      <c r="E131" s="128" t="inlineStr">
        <is>
          <t>Si esta celda no da cero, la operación no está financiada.</t>
        </is>
      </c>
      <c r="F131" s="126" t="n"/>
      <c r="G131" s="1" t="n"/>
    </row>
    <row r="132" ht="14" customHeight="1">
      <c r="A132" s="1" t="n"/>
      <c r="B132" s="1" t="n"/>
      <c r="C132" s="1" t="n"/>
      <c r="D132" s="1" t="n"/>
      <c r="E132" s="1" t="n"/>
      <c r="F132" s="1" t="n"/>
      <c r="G132" s="1" t="n"/>
    </row>
    <row r="133" ht="26" customHeight="1">
      <c r="A133" s="1" t="n"/>
      <c r="B133" s="84" t="inlineStr">
        <is>
          <t>5.   Resumen: las dos fases juntas</t>
        </is>
      </c>
      <c r="C133" s="84" t="n"/>
      <c r="D133" s="84" t="n"/>
      <c r="E133" s="84" t="n"/>
      <c r="F133" s="84" t="n"/>
      <c r="G133" s="1" t="n"/>
    </row>
    <row r="134" ht="28.91" customHeight="1">
      <c r="A134" s="1" t="n"/>
      <c r="B134" s="15" t="inlineStr">
        <is>
          <t>Las dos fases en una sola tabla. A la izquierda lo que cuesta, a la derecha con qué se paga, y al lado la diferencia, que tiene que ser cero en las dos filas.</t>
        </is>
      </c>
      <c r="C134" s="15" t="n"/>
      <c r="D134" s="15" t="n"/>
      <c r="E134" s="15" t="n"/>
      <c r="F134" s="15" t="n"/>
      <c r="G134" s="1" t="n"/>
    </row>
    <row r="135" ht="30" customHeight="1">
      <c r="A135" s="1" t="n"/>
      <c r="B135" s="90" t="inlineStr">
        <is>
          <t>Fase</t>
        </is>
      </c>
      <c r="C135" s="91" t="n"/>
      <c r="D135" s="90" t="inlineStr">
        <is>
          <t>Lo que cuesta</t>
        </is>
      </c>
      <c r="E135" s="90" t="inlineStr">
        <is>
          <t>Con qué se paga</t>
        </is>
      </c>
      <c r="F135" s="90" t="inlineStr">
        <is>
          <t>Diferencia</t>
        </is>
      </c>
      <c r="G135" s="1" t="n"/>
    </row>
    <row r="136" ht="28.91" customHeight="1">
      <c r="A136" s="1" t="n"/>
      <c r="B136" s="133" t="inlineStr">
        <is>
          <t>Fase 1 · Montaje, una sola vez antes de arrancar</t>
        </is>
      </c>
      <c r="C136" s="93" t="n"/>
      <c r="D136" s="134">
        <f>D60</f>
        <v/>
      </c>
      <c r="E136" s="135">
        <f>D71</f>
        <v/>
      </c>
      <c r="F136" s="136">
        <f>E136-D136</f>
        <v/>
      </c>
      <c r="G136" s="1" t="n"/>
    </row>
    <row r="137" ht="28.91" customHeight="1">
      <c r="A137" s="1" t="n"/>
      <c r="B137" s="137" t="inlineStr">
        <is>
          <t>Fase 2 · Operación, cada año mientras el proyecto funcione</t>
        </is>
      </c>
      <c r="C137" s="93" t="n"/>
      <c r="D137" s="138">
        <f>D121</f>
        <v/>
      </c>
      <c r="E137" s="139">
        <f>D130</f>
        <v/>
      </c>
      <c r="F137" s="140">
        <f>E137-D137</f>
        <v/>
      </c>
      <c r="G137" s="1" t="n"/>
    </row>
    <row r="138" ht="28.91" customHeight="1">
      <c r="A138" s="1" t="n"/>
      <c r="B138" s="141" t="inlineStr">
        <is>
          <t>TOTAL DEL PRIMER AÑO, QUE ES CUANDO COINCIDEN LAS DOS FASES</t>
        </is>
      </c>
      <c r="C138" s="93" t="n"/>
      <c r="D138" s="142">
        <f>D136+D137</f>
        <v/>
      </c>
      <c r="E138" s="143">
        <f>E136+E137</f>
        <v/>
      </c>
      <c r="F138" s="144">
        <f>F136+F137</f>
        <v/>
      </c>
      <c r="G138" s="1" t="n"/>
    </row>
    <row r="139" ht="8" customHeight="1">
      <c r="A139" s="1" t="n"/>
      <c r="B139" s="1" t="n"/>
      <c r="C139" s="1" t="n"/>
      <c r="D139" s="1" t="n"/>
      <c r="E139" s="1" t="n"/>
      <c r="F139" s="1" t="n"/>
      <c r="G139" s="1" t="n"/>
    </row>
    <row r="140" ht="20" customHeight="1">
      <c r="A140" s="1" t="n"/>
      <c r="B140" s="23" t="inlineStr">
        <is>
          <t>El cuadre, explicado</t>
        </is>
      </c>
      <c r="C140" s="23" t="n"/>
      <c r="D140" s="23" t="n"/>
      <c r="E140" s="23" t="n"/>
      <c r="F140" s="23" t="n"/>
      <c r="G140" s="1" t="n"/>
    </row>
    <row r="141" ht="174.345" customHeight="1">
      <c r="A141" s="1" t="n"/>
      <c r="B141" s="24" t="inlineStr">
        <is>
          <t>CÓMO SE LEE ESTA TABLA
La columna «Diferencia» da cero en las dos filas, y eso es lo único que importa: el proyecto está financiado en las dos fases. No queda ningún hueco sin explicar.
LA PREGUNTA QUE SUELE HACERSE AQUÍ
Si los ingresos propios del proyecto son $1,321,052,112 y la operación cuesta $2,819,182,741, ¿de dónde salen los $1,498,130,629 que faltan? De tres fuentes públicas concretas, listadas una por una en la sección 4.2: el Incentivo al Aprovechamiento y Tratamiento, que es un fondo que ya existe y que se nutre de la tarifa de disposición final de toda la ciudad; el Fondo de Desarrollo Local de Usme; y el presupuesto de la UAESP, con cargo al mismo rubro con el que hoy paga enterrar esas mismas toneladas.
POR QUÉ ESO NO ES UNA TRAMPA CONTABLE
Porque la ciudad ya está gastando dinero en esas toneladas: hoy paga $191,190 por cada una para recogerla y enterrarla, y no recibe nada a cambio. La sección 9 hace esa resta completa y muestra que el costo adicional real, descontando lo que la ciudad deja de gastar, es de $9,822 por hogar al mes.</t>
        </is>
      </c>
      <c r="C141" s="24" t="n"/>
      <c r="D141" s="24" t="n"/>
      <c r="E141" s="24" t="n"/>
      <c r="F141" s="24" t="n"/>
      <c r="G141" s="1" t="n"/>
    </row>
    <row r="142" ht="14" customHeight="1">
      <c r="A142" s="1" t="n"/>
      <c r="B142" s="1" t="n"/>
      <c r="C142" s="1" t="n"/>
      <c r="D142" s="1" t="n"/>
      <c r="E142" s="1" t="n"/>
      <c r="F142" s="1" t="n"/>
      <c r="G142" s="1" t="n"/>
    </row>
    <row r="143" ht="26" customHeight="1">
      <c r="A143" s="1" t="n"/>
      <c r="B143" s="69" t="inlineStr">
        <is>
          <t>6.   Los ingresos propios, en detalle</t>
        </is>
      </c>
      <c r="C143" s="69" t="n"/>
      <c r="D143" s="69" t="n"/>
      <c r="E143" s="69" t="n"/>
      <c r="F143" s="69" t="n"/>
      <c r="G143" s="1" t="n"/>
    </row>
    <row r="144" ht="35.59999999999999" customHeight="1">
      <c r="A144" s="1" t="n"/>
      <c r="B144" s="15" t="inlineStr">
        <is>
          <t>El primer renglón de la financiación anual son los ingresos que genera el propio proyecto. Cada uno es una multiplicación de cantidad por precio, y las dos cifras vienen de las secciones 1 y 2.</t>
        </is>
      </c>
      <c r="C144" s="15" t="n"/>
      <c r="D144" s="15" t="n"/>
      <c r="E144" s="15" t="n"/>
      <c r="F144" s="15" t="n"/>
      <c r="G144" s="1" t="n"/>
    </row>
    <row r="145" ht="30" customHeight="1">
      <c r="A145" s="1" t="n"/>
      <c r="B145" s="145" t="inlineStr">
        <is>
          <t>Fuente de ingreso</t>
        </is>
      </c>
      <c r="C145" s="145" t="inlineStr">
        <is>
          <t>Cómo se calcula</t>
        </is>
      </c>
      <c r="D145" s="145" t="inlineStr">
        <is>
          <t>Total al año</t>
        </is>
      </c>
      <c r="E145" s="145" t="inlineStr">
        <is>
          <t>De qué se trata</t>
        </is>
      </c>
      <c r="F145" s="146" t="n"/>
      <c r="G145" s="1" t="n"/>
    </row>
    <row r="146" ht="28.0545" customHeight="1">
      <c r="A146" s="1" t="n"/>
      <c r="B146" s="147" t="inlineStr">
        <is>
          <t>LÍNEA HOGARES</t>
        </is>
      </c>
      <c r="C146" s="148" t="inlineStr"/>
      <c r="D146" s="148" t="inlineStr"/>
      <c r="E146" s="148" t="inlineStr"/>
      <c r="F146" s="93" t="n"/>
      <c r="G146" s="1" t="n"/>
    </row>
    <row r="147" ht="44.309" customHeight="1">
      <c r="A147" s="1" t="n"/>
      <c r="B147" s="19" t="inlineStr">
        <is>
          <t>Contrato de recolección y tratamiento con el Distrito</t>
        </is>
      </c>
      <c r="C147" s="20" t="inlineStr">
        <is>
          <t>2,032 toneladas domiciliarias × $150,000 por tonelada</t>
        </is>
      </c>
      <c r="D147" s="149">
        <f>D32*D17</f>
        <v/>
      </c>
      <c r="E147" s="47" t="inlineStr">
        <is>
          <t>El Distrito paga por cada tonelada que el programa recoge, transporta y convierte en abono. Hoy esa misma tonelada le cuesta $191,190 entre camión, relleno y lixiviados.</t>
        </is>
      </c>
      <c r="F147" s="93" t="n"/>
      <c r="G147" s="1" t="n"/>
    </row>
    <row r="148" ht="44.309" customHeight="1">
      <c r="A148" s="1" t="n"/>
      <c r="B148" s="21" t="inlineStr">
        <is>
          <t>Venta del abono hecho con el material de los hogares</t>
        </is>
      </c>
      <c r="C148" s="22" t="inlineStr">
        <is>
          <t>2,032 toneladas × 0.35 de rendimiento × $338,500 la tonelada de abono</t>
        </is>
      </c>
      <c r="D148" s="150">
        <f>D32*D15*D16</f>
        <v/>
      </c>
      <c r="E148" s="49" t="inlineStr">
        <is>
          <t>El precio es el promedio de las tres presentaciones: a granel para papa y pasto, humus de lombriz para floricultura y empacado para jardinería urbana.</t>
        </is>
      </c>
      <c r="F148" s="93" t="n"/>
      <c r="G148" s="1" t="n"/>
    </row>
    <row r="149" ht="22" customHeight="1">
      <c r="A149" s="1" t="n"/>
      <c r="B149" s="151" t="inlineStr">
        <is>
          <t>Subtotal · Línea hogares</t>
        </is>
      </c>
      <c r="C149" s="152" t="n"/>
      <c r="D149" s="153">
        <f>SUM(D147:D148)</f>
        <v/>
      </c>
      <c r="E149" s="152" t="inlineStr"/>
      <c r="F149" s="152" t="n"/>
      <c r="G149" s="1" t="n"/>
    </row>
    <row r="150" ht="28.0545" customHeight="1">
      <c r="A150" s="1" t="n"/>
      <c r="B150" s="147" t="inlineStr">
        <is>
          <t>LÍNEA ESTABLECIMIENTOS</t>
        </is>
      </c>
      <c r="C150" s="148" t="inlineStr"/>
      <c r="D150" s="148" t="inlineStr"/>
      <c r="E150" s="148" t="inlineStr"/>
      <c r="F150" s="93" t="n"/>
      <c r="G150" s="1" t="n"/>
    </row>
    <row r="151" ht="44.309" customHeight="1">
      <c r="A151" s="1" t="n"/>
      <c r="B151" s="19" t="inlineStr">
        <is>
          <t>Tarifa de recolección y tratamiento a los establecimientos</t>
        </is>
      </c>
      <c r="C151" s="20" t="inlineStr">
        <is>
          <t>3,000 toneladas comerciales × $140,000 por tonelada</t>
        </is>
      </c>
      <c r="D151" s="149">
        <f>D33*D18</f>
        <v/>
      </c>
      <c r="E151" s="47" t="inlineStr">
        <is>
          <t>Los establecimientos pagan por el servicio. Hoy pagan aseo por aforo, que les sale más caro, así que el cambio les conviene. La cuenta está en la sección 8.</t>
        </is>
      </c>
      <c r="F151" s="93" t="n"/>
      <c r="G151" s="1" t="n"/>
    </row>
    <row r="152" ht="44.309" customHeight="1">
      <c r="A152" s="1" t="n"/>
      <c r="B152" s="21" t="inlineStr">
        <is>
          <t>Venta del abono hecho con el material de los establecimientos</t>
        </is>
      </c>
      <c r="C152" s="22" t="inlineStr">
        <is>
          <t>3,000 toneladas × 0.35 de rendimiento × $338,500 la tonelada de abono</t>
        </is>
      </c>
      <c r="D152" s="150">
        <f>D33*D15*D16</f>
        <v/>
      </c>
      <c r="E152" s="49" t="inlineStr">
        <is>
          <t>El material comercial llega más limpio y más homogéneo que el domiciliario.</t>
        </is>
      </c>
      <c r="F152" s="93" t="n"/>
      <c r="G152" s="1" t="n"/>
    </row>
    <row r="153" ht="22" customHeight="1">
      <c r="A153" s="1" t="n"/>
      <c r="B153" s="151" t="inlineStr">
        <is>
          <t>Subtotal · Línea establecimientos</t>
        </is>
      </c>
      <c r="C153" s="152" t="n"/>
      <c r="D153" s="153">
        <f>SUM(D151:D152)</f>
        <v/>
      </c>
      <c r="E153" s="152" t="inlineStr"/>
      <c r="F153" s="152" t="n"/>
      <c r="G153" s="1" t="n"/>
    </row>
    <row r="154" ht="27.19899999999999" customHeight="1">
      <c r="A154" s="1" t="n"/>
      <c r="B154" s="154" t="inlineStr">
        <is>
          <t>TOTAL DE INGRESOS PROPIOS AL AÑO</t>
        </is>
      </c>
      <c r="C154" s="155" t="n"/>
      <c r="D154" s="156">
        <f>D149+D153</f>
        <v/>
      </c>
      <c r="E154" s="157" t="inlineStr">
        <is>
          <t>Es el primer renglón de la financiación anual de la sección 4.2.</t>
        </is>
      </c>
      <c r="F154" s="155" t="n"/>
      <c r="G154" s="1" t="n"/>
    </row>
    <row r="155" ht="10" customHeight="1">
      <c r="A155" s="1" t="n"/>
      <c r="B155" s="1" t="n"/>
      <c r="C155" s="1" t="n"/>
      <c r="D155" s="1" t="n"/>
      <c r="E155" s="1" t="n"/>
      <c r="F155" s="1" t="n"/>
      <c r="G155" s="1" t="n"/>
    </row>
    <row r="156" ht="20" customHeight="1">
      <c r="A156" s="1" t="n"/>
      <c r="B156" s="5" t="inlineStr">
        <is>
          <t>6.1  A qué precio se vende el abono, comparado con el mercado</t>
        </is>
      </c>
      <c r="C156" s="5" t="n"/>
      <c r="D156" s="5" t="n"/>
      <c r="E156" s="5" t="n"/>
      <c r="F156" s="5" t="n"/>
      <c r="G156" s="1" t="n"/>
    </row>
    <row r="157" ht="44.309" customHeight="1">
      <c r="A157" s="1" t="n"/>
      <c r="B157" s="118" t="inlineStr">
        <is>
          <t>Conviene detenerse en esto porque es la pregunta que más se hace: si el proyecto está vendiendo barato, estaría regalando ingresos. La respuesta es que no. El abono no se vende a mitad de precio: se vende dentro del rango de mercado de cada presentación, y en el caso del compost a granel, en la parte alta de ese rango.</t>
        </is>
      </c>
      <c r="C157" s="118" t="n"/>
      <c r="D157" s="118" t="n"/>
      <c r="E157" s="118" t="n"/>
      <c r="F157" s="118" t="n"/>
      <c r="G157" s="1" t="n"/>
    </row>
    <row r="158" ht="30" customHeight="1">
      <c r="A158" s="1" t="n"/>
      <c r="B158" s="18" t="inlineStr">
        <is>
          <t>Presentación</t>
        </is>
      </c>
      <c r="C158" s="18" t="inlineStr">
        <is>
          <t>Precio de mercado</t>
        </is>
      </c>
      <c r="D158" s="18" t="inlineStr">
        <is>
          <t>Precio del proyecto</t>
        </is>
      </c>
      <c r="E158" s="18" t="inlineStr">
        <is>
          <t>Qué parte de la producción</t>
        </is>
      </c>
      <c r="F158" s="18" t="inlineStr">
        <is>
          <t>Por qué ese precio</t>
        </is>
      </c>
      <c r="G158" s="1" t="n"/>
    </row>
    <row r="159" ht="93.07249999999999" customHeight="1">
      <c r="A159" s="1" t="n"/>
      <c r="B159" s="19" t="inlineStr">
        <is>
          <t>Compost a granel</t>
        </is>
      </c>
      <c r="C159" s="158" t="inlineStr">
        <is>
          <t>$160,000 a $300,000</t>
        </is>
      </c>
      <c r="D159" s="149" t="n">
        <v>250000</v>
      </c>
      <c r="E159" s="159" t="n">
        <v>0.6</v>
      </c>
      <c r="F159" s="20" t="inlineStr">
        <is>
          <t>El estudio del Ministerio de Vivienda reporta que las plantas colombianas venden el subproducto entre $160,000 y $300,000 por tonelada. El proyecto vende a $250,000, que está en la parte alta de ese rango y no por debajo: no se regala el producto.</t>
        </is>
      </c>
      <c r="G159" s="1" t="n"/>
    </row>
    <row r="160" ht="76.81799999999998" customHeight="1">
      <c r="A160" s="1" t="n"/>
      <c r="B160" s="21" t="inlineStr">
        <is>
          <t>Humus de lombriz</t>
        </is>
      </c>
      <c r="C160" s="160" t="inlineStr">
        <is>
          <t>$350,000 a $420,000</t>
        </is>
      </c>
      <c r="D160" s="150" t="n">
        <v>395000</v>
      </c>
      <c r="E160" s="161" t="n">
        <v>0.3</v>
      </c>
      <c r="F160" s="22" t="inlineStr">
        <is>
          <t>Precio verificado con proveedores de Bogotá a través de Infoagro. Es el mismo precio de mercado: el humus es un producto con demanda firme y no hay razón para descontarlo.</t>
        </is>
      </c>
      <c r="G160" s="1" t="n"/>
    </row>
    <row r="161" ht="93.07249999999999" customHeight="1">
      <c r="A161" s="1" t="n"/>
      <c r="B161" s="19" t="inlineStr">
        <is>
          <t>Producto empacado</t>
        </is>
      </c>
      <c r="C161" s="158" t="inlineStr">
        <is>
          <t>$678,000 a $798,000</t>
        </is>
      </c>
      <c r="D161" s="149" t="n">
        <v>700000</v>
      </c>
      <c r="E161" s="159" t="n">
        <v>0.1</v>
      </c>
      <c r="F161" s="20" t="inlineStr">
        <is>
          <t>Un bulto de 50 kilos se vende al detal entre $33,915 y $39,900, es decir entre $678,000 y $798,000 por tonelada. El proyecto vende a $700,000 porque entrega a distribuidor y no al consumidor final, de modo que cede el margen del punto de venta.</t>
        </is>
      </c>
      <c r="G161" s="1" t="n"/>
    </row>
    <row r="162" ht="42.59799999999999" customHeight="1">
      <c r="A162" s="1" t="n"/>
      <c r="B162" s="121" t="inlineStr">
        <is>
          <t>PRECIO PROMEDIO PONDERADO DE LA MEZCLA</t>
        </is>
      </c>
      <c r="C162" s="122" t="n"/>
      <c r="D162" s="123">
        <f>D16</f>
        <v/>
      </c>
      <c r="E162" s="122" t="inlineStr"/>
      <c r="F162" s="124" t="inlineStr">
        <is>
          <t>Es el valor que usa la sección 6 para calcular el ingreso del abono.</t>
        </is>
      </c>
      <c r="G162" s="1" t="n"/>
    </row>
    <row r="163" ht="8" customHeight="1">
      <c r="A163" s="1" t="n"/>
      <c r="B163" s="1" t="n"/>
      <c r="C163" s="1" t="n"/>
      <c r="D163" s="1" t="n"/>
      <c r="E163" s="1" t="n"/>
      <c r="F163" s="1" t="n"/>
      <c r="G163" s="1" t="n"/>
    </row>
    <row r="164" ht="20" customHeight="1">
      <c r="A164" s="1" t="n"/>
      <c r="B164" s="25" t="inlineStr">
        <is>
          <t>Tres preguntas sobre el precio del abono</t>
        </is>
      </c>
      <c r="C164" s="25" t="n"/>
      <c r="D164" s="25" t="n"/>
      <c r="E164" s="25" t="n"/>
      <c r="F164" s="25" t="n"/>
      <c r="G164" s="1" t="n"/>
    </row>
    <row r="165" ht="190.5995" customHeight="1">
      <c r="A165" s="1" t="n"/>
      <c r="B165" s="70" t="inlineStr">
        <is>
          <t>POR QUÉ NO SE VENDE TODO EMPACADO, QUE ES LO QUE MÁS PAGA
Porque el mercado no lo absorbe. El producto empacado se vende a viveros y jardinería urbana, un segmento que en Bogotá mueve volúmenes pequeños frente a las 1,761 toneladas que produce el proyecto. Además, empacar cuesta: la bolsa, la mano de obra y la distribución al detal se comen buena parte de la diferencia de precio. Por eso solo el 10 % de la producción va empacada.
POR QUÉ EL GRANEL PESA EL 60 %
Porque es el único canal capaz de recibir mil toneladas al año sin saturarse: la Sabana de Bogotá tiene 76,626 hectáreas sembradas de papa, y una sola hectárea admite entre 3 y 5 toneladas de compost. Es el canal que paga menos por tonelada pero el único que garantiza que el producto salga de la planta.
QUÉ PASARÍA SI SE VENDIERA MÁS CARO
Subir el precio del granel de $250,000 a $300,000, que es el techo del rango de mercado, aumentaría el ingreso por abono en un 9 % y reduciría el aporte público necesario en unos $53 millones al año. Es una palanca real, pero exige que el abono ya tenga reputación en la Sabana, y eso solo se consigue después de dos o tres cosechas. Por eso el modelo arranca con el precio conservador y no con el optimista.</t>
        </is>
      </c>
      <c r="C165" s="70" t="n"/>
      <c r="D165" s="70" t="n"/>
      <c r="E165" s="70" t="n"/>
      <c r="F165" s="70" t="n"/>
      <c r="G165" s="1" t="n"/>
    </row>
    <row r="166" ht="14" customHeight="1">
      <c r="A166" s="1" t="n"/>
      <c r="B166" s="1" t="n"/>
      <c r="C166" s="1" t="n"/>
      <c r="D166" s="1" t="n"/>
      <c r="E166" s="1" t="n"/>
      <c r="F166" s="1" t="n"/>
      <c r="G166" s="1" t="n"/>
    </row>
    <row r="167" ht="26" customHeight="1">
      <c r="A167" s="1" t="n"/>
      <c r="B167" s="84" t="inlineStr">
        <is>
          <t>7.   Resultado del proyecto</t>
        </is>
      </c>
      <c r="C167" s="84" t="n"/>
      <c r="D167" s="84" t="n"/>
      <c r="E167" s="84" t="n"/>
      <c r="F167" s="84" t="n"/>
      <c r="G167" s="1" t="n"/>
    </row>
    <row r="168" ht="35.59999999999999" customHeight="1">
      <c r="A168" s="1" t="n"/>
      <c r="B168" s="15" t="inlineStr">
        <is>
          <t>Visto como negocio, es decir comparando solo los ingresos propios contra los costos, sin contar los aportes públicos. Es la forma de medir qué tan lejos está el proyecto de pagarse a sí mismo.</t>
        </is>
      </c>
      <c r="C168" s="15" t="n"/>
      <c r="D168" s="15" t="n"/>
      <c r="E168" s="15" t="n"/>
      <c r="F168" s="15" t="n"/>
      <c r="G168" s="1" t="n"/>
    </row>
    <row r="169" ht="30" customHeight="1">
      <c r="A169" s="1" t="n"/>
      <c r="B169" s="90" t="inlineStr">
        <is>
          <t>Concepto</t>
        </is>
      </c>
      <c r="C169" s="90" t="inlineStr">
        <is>
          <t>De dónde viene</t>
        </is>
      </c>
      <c r="D169" s="90" t="inlineStr">
        <is>
          <t>Valor al año</t>
        </is>
      </c>
      <c r="E169" s="90" t="inlineStr">
        <is>
          <t>Qué significa</t>
        </is>
      </c>
      <c r="F169" s="91" t="n"/>
      <c r="G169" s="1" t="n"/>
    </row>
    <row r="170" ht="28.0545" customHeight="1">
      <c r="A170" s="1" t="n"/>
      <c r="B170" s="162" t="inlineStr">
        <is>
          <t>(+) Ingresos propios</t>
        </is>
      </c>
      <c r="C170" s="163" t="inlineStr">
        <is>
          <t>El total de la sección 6</t>
        </is>
      </c>
      <c r="D170" s="164">
        <f>D154</f>
        <v/>
      </c>
      <c r="E170" s="163" t="inlineStr">
        <is>
          <t>Contrato con el Distrito, tarifa a los establecimientos y venta del abono.</t>
        </is>
      </c>
      <c r="F170" s="93" t="n"/>
      <c r="G170" s="1" t="n"/>
    </row>
    <row r="171" ht="28.0545" customHeight="1">
      <c r="A171" s="1" t="n"/>
      <c r="B171" s="162" t="inlineStr">
        <is>
          <t>(−) Costos de operación</t>
        </is>
      </c>
      <c r="C171" s="163" t="inlineStr">
        <is>
          <t>El total de la sección 4.1</t>
        </is>
      </c>
      <c r="D171" s="165">
        <f>D121</f>
        <v/>
      </c>
      <c r="E171" s="163" t="inlineStr">
        <is>
          <t>Toda la operación de un año. No incluye el montaje.</t>
        </is>
      </c>
      <c r="F171" s="93" t="n"/>
      <c r="G171" s="1" t="n"/>
    </row>
    <row r="172" ht="28.0545" customHeight="1">
      <c r="A172" s="1" t="n"/>
      <c r="B172" s="162" t="inlineStr">
        <is>
          <t>(=) RESULTADO DEL AÑO</t>
        </is>
      </c>
      <c r="C172" s="163" t="inlineStr">
        <is>
          <t>Los ingresos menos los costos</t>
        </is>
      </c>
      <c r="D172" s="165">
        <f>D170-D171</f>
        <v/>
      </c>
      <c r="E172" s="163" t="inlineStr">
        <is>
          <t>Lo que le falta al proyecto para pagarse solo, y que aportan las fuentes públicas de la sección 4.2.</t>
        </is>
      </c>
      <c r="F172" s="93" t="n"/>
      <c r="G172" s="1" t="n"/>
    </row>
    <row r="173" ht="28.0545" customHeight="1">
      <c r="A173" s="1" t="n"/>
      <c r="B173" s="22" t="inlineStr">
        <is>
          <t>Cobertura de costos con ingresos propios</t>
        </is>
      </c>
      <c r="C173" s="22" t="inlineStr">
        <is>
          <t>Los ingresos divididos por los costos</t>
        </is>
      </c>
      <c r="D173" s="166">
        <f>D170/D171</f>
        <v/>
      </c>
      <c r="E173" s="22" t="inlineStr">
        <is>
          <t>El proyecto se paga a sí mismo algo menos de la mitad.</t>
        </is>
      </c>
      <c r="F173" s="93" t="n"/>
      <c r="G173" s="1" t="n"/>
    </row>
    <row r="174" ht="44.309" customHeight="1">
      <c r="A174" s="1" t="n"/>
      <c r="B174" s="20" t="inlineStr">
        <is>
          <t>Costo de procesar una tonelada</t>
        </is>
      </c>
      <c r="C174" s="20" t="inlineStr">
        <is>
          <t>Los costos divididos por las toneladas de la sección 2</t>
        </is>
      </c>
      <c r="D174" s="27">
        <f>D171/D34</f>
        <v/>
      </c>
      <c r="E174" s="20" t="inlineStr">
        <is>
          <t>Recoger casa por casa es lo que lo encarece: el detalle por línea está abajo.</t>
        </is>
      </c>
      <c r="F174" s="93" t="n"/>
      <c r="G174" s="1" t="n"/>
    </row>
    <row r="175" ht="28.0545" customHeight="1">
      <c r="A175" s="1" t="n"/>
      <c r="B175" s="22" t="inlineStr">
        <is>
          <t>Ingreso propio por tonelada</t>
        </is>
      </c>
      <c r="C175" s="22" t="inlineStr">
        <is>
          <t>Los ingresos divididos por esas mismas toneladas</t>
        </is>
      </c>
      <c r="D175" s="28">
        <f>D170/D34</f>
        <v/>
      </c>
      <c r="E175" s="22" t="inlineStr">
        <is>
          <t>La diferencia con la fila anterior es, por tonelada, lo que hay que financiar.</t>
        </is>
      </c>
      <c r="F175" s="93" t="n"/>
      <c r="G175" s="1" t="n"/>
    </row>
    <row r="176" ht="10" customHeight="1">
      <c r="A176" s="1" t="n"/>
      <c r="B176" s="1" t="n"/>
      <c r="C176" s="1" t="n"/>
      <c r="D176" s="1" t="n"/>
      <c r="E176" s="1" t="n"/>
      <c r="F176" s="1" t="n"/>
      <c r="G176" s="1" t="n"/>
    </row>
    <row r="177" ht="20" customHeight="1">
      <c r="A177" s="1" t="n"/>
      <c r="B177" s="167" t="inlineStr">
        <is>
          <t>7.1  El resultado de cada línea por separado</t>
        </is>
      </c>
      <c r="C177" s="167" t="n"/>
      <c r="D177" s="167" t="n"/>
      <c r="E177" s="167" t="n"/>
      <c r="F177" s="167" t="n"/>
      <c r="G177" s="1" t="n"/>
    </row>
    <row r="178" ht="34.22" customHeight="1">
      <c r="A178" s="1" t="n"/>
      <c r="B178" s="118" t="inlineStr">
        <is>
          <t>Aquí está la razón de fondo por la que el proyecto trabaja con hogares y establecimientos a la vez. Los costos comunes se reparten entre las dos líneas en proporción a las toneladas que aporta cada una.</t>
        </is>
      </c>
      <c r="C178" s="118" t="n"/>
      <c r="D178" s="118" t="n"/>
      <c r="E178" s="118" t="n"/>
      <c r="F178" s="118" t="n"/>
      <c r="G178" s="1" t="n"/>
    </row>
    <row r="179" ht="30" customHeight="1">
      <c r="A179" s="1" t="n"/>
      <c r="B179" s="90" t="inlineStr">
        <is>
          <t>Concepto</t>
        </is>
      </c>
      <c r="C179" s="90" t="inlineStr">
        <is>
          <t>Línea hogares</t>
        </is>
      </c>
      <c r="D179" s="90" t="inlineStr">
        <is>
          <t>Línea establecimientos</t>
        </is>
      </c>
      <c r="E179" s="90" t="inlineStr">
        <is>
          <t>Total</t>
        </is>
      </c>
      <c r="F179" s="90" t="inlineStr">
        <is>
          <t>Qué muestra</t>
        </is>
      </c>
      <c r="G179" s="1" t="n"/>
    </row>
    <row r="180" ht="44.309" customHeight="1">
      <c r="A180" s="1" t="n"/>
      <c r="B180" s="20" t="inlineStr">
        <is>
          <t>Toneladas al año</t>
        </is>
      </c>
      <c r="C180" s="100">
        <f>D32</f>
        <v/>
      </c>
      <c r="D180" s="100">
        <f>D33</f>
        <v/>
      </c>
      <c r="E180" s="100">
        <f>C180+D180</f>
        <v/>
      </c>
      <c r="F180" s="20" t="inlineStr">
        <is>
          <t>Los establecimientos aportan más material con muchos menos puntos de recogida.</t>
        </is>
      </c>
      <c r="G180" s="1" t="n"/>
    </row>
    <row r="181" ht="44.309" customHeight="1">
      <c r="A181" s="1" t="n"/>
      <c r="B181" s="22" t="inlineStr">
        <is>
          <t>Ingresos propios del año</t>
        </is>
      </c>
      <c r="C181" s="28">
        <f>D149</f>
        <v/>
      </c>
      <c r="D181" s="28">
        <f>D153</f>
        <v/>
      </c>
      <c r="E181" s="28">
        <f>C181+D181</f>
        <v/>
      </c>
      <c r="F181" s="22" t="inlineStr">
        <is>
          <t>La línea comercial factura más, porque su tarifa es mayor y su volumen también.</t>
        </is>
      </c>
      <c r="G181" s="1" t="n"/>
    </row>
    <row r="182" ht="44.309" customHeight="1">
      <c r="A182" s="1" t="n"/>
      <c r="B182" s="20" t="inlineStr">
        <is>
          <t>Costos directos</t>
        </is>
      </c>
      <c r="C182" s="27">
        <f>D95</f>
        <v/>
      </c>
      <c r="D182" s="27">
        <f>D109</f>
        <v/>
      </c>
      <c r="E182" s="27">
        <f>C182+D182</f>
        <v/>
      </c>
      <c r="F182" s="20" t="inlineStr">
        <is>
          <t>Lo que gasta cada línea por su cuenta, sin contar la planta ni la administración.</t>
        </is>
      </c>
      <c r="G182" s="1" t="n"/>
    </row>
    <row r="183" ht="44.309" customHeight="1">
      <c r="A183" s="1" t="n"/>
      <c r="B183" s="22" t="inlineStr">
        <is>
          <t>Parte de los costos comunes</t>
        </is>
      </c>
      <c r="C183" s="28">
        <f>D120*D32/D34</f>
        <v/>
      </c>
      <c r="D183" s="28">
        <f>D120*D33/D34</f>
        <v/>
      </c>
      <c r="E183" s="28">
        <f>C183+D183</f>
        <v/>
      </c>
      <c r="F183" s="22" t="inlineStr">
        <is>
          <t>La planta y la administración repartidas según las toneladas de cada línea.</t>
        </is>
      </c>
      <c r="G183" s="1" t="n"/>
    </row>
    <row r="184" ht="28.0545" customHeight="1">
      <c r="A184" s="1" t="n"/>
      <c r="B184" s="20" t="inlineStr">
        <is>
          <t>Costo total de la línea</t>
        </is>
      </c>
      <c r="C184" s="27">
        <f>C182+C183</f>
        <v/>
      </c>
      <c r="D184" s="27">
        <f>D182+D183</f>
        <v/>
      </c>
      <c r="E184" s="27">
        <f>C184+D184</f>
        <v/>
      </c>
      <c r="F184" s="20" t="inlineStr">
        <is>
          <t>Los costos directos más la parte de comunes.</t>
        </is>
      </c>
      <c r="G184" s="1" t="n"/>
    </row>
    <row r="185" ht="44.309" customHeight="1">
      <c r="A185" s="1" t="n"/>
      <c r="B185" s="162" t="inlineStr">
        <is>
          <t>RESULTADO DE LA LÍNEA</t>
        </is>
      </c>
      <c r="C185" s="168">
        <f>C181-C184</f>
        <v/>
      </c>
      <c r="D185" s="168">
        <f>D181-D184</f>
        <v/>
      </c>
      <c r="E185" s="168">
        <f>C185+D185</f>
        <v/>
      </c>
      <c r="F185" s="163" t="inlineStr">
        <is>
          <t>La línea comercial pierde bastante menos que la domiciliaria, tanto en total como por tonelada.</t>
        </is>
      </c>
      <c r="G185" s="1" t="n"/>
    </row>
    <row r="186" ht="60.5635" customHeight="1">
      <c r="A186" s="1" t="n"/>
      <c r="B186" s="162" t="inlineStr">
        <is>
          <t>Cobertura de costos</t>
        </is>
      </c>
      <c r="C186" s="169">
        <f>C181/C184</f>
        <v/>
      </c>
      <c r="D186" s="169">
        <f>D181/D184</f>
        <v/>
      </c>
      <c r="E186" s="169">
        <f>(C181+D181)/(C184+D184)</f>
        <v/>
      </c>
      <c r="F186" s="163" t="inlineStr">
        <is>
          <t>La comercial se paga en un 60.8 % y la domiciliaria en un 35.4 %. Esa diferencia es toda la razón de trabajar con las dos.</t>
        </is>
      </c>
      <c r="G186" s="1" t="n"/>
    </row>
    <row r="187" ht="44.309" customHeight="1">
      <c r="A187" s="1" t="n"/>
      <c r="B187" s="22" t="inlineStr">
        <is>
          <t>Costo por tonelada</t>
        </is>
      </c>
      <c r="C187" s="28">
        <f>C184/C180</f>
        <v/>
      </c>
      <c r="D187" s="28">
        <f>D184/D180</f>
        <v/>
      </c>
      <c r="E187" s="28">
        <f>(C184+D184)/(C180+D180)</f>
        <v/>
      </c>
      <c r="F187" s="22" t="inlineStr">
        <is>
          <t>Recoger casa por casa cuesta casi el doble por tonelada que recoger en establecimientos.</t>
        </is>
      </c>
      <c r="G187" s="1" t="n"/>
    </row>
    <row r="188" ht="14" customHeight="1">
      <c r="A188" s="1" t="n"/>
      <c r="B188" s="1" t="n"/>
      <c r="C188" s="1" t="n"/>
      <c r="D188" s="1" t="n"/>
      <c r="E188" s="1" t="n"/>
      <c r="F188" s="1" t="n"/>
      <c r="G188" s="1" t="n"/>
    </row>
    <row r="189" ht="26" customHeight="1">
      <c r="A189" s="1" t="n"/>
      <c r="B189" s="83" t="inlineStr">
        <is>
          <t>8.   Qué gana cada usuario</t>
        </is>
      </c>
      <c r="C189" s="83" t="n"/>
      <c r="D189" s="83" t="n"/>
      <c r="E189" s="83" t="n"/>
      <c r="F189" s="83" t="n"/>
      <c r="G189" s="1" t="n"/>
    </row>
    <row r="190" ht="49.4" customHeight="1">
      <c r="A190" s="1" t="n"/>
      <c r="B190" s="15" t="inlineStr">
        <is>
          <t>Ninguna familia y ningún restaurante va a cambiar su rutina a cambio de nada. Esta sección muestra qué recibe cada uno y cuánto vale. Todo lo que aparece aquí ya está contado como costo en la sección 4.1: no son promesas, es dinero que el proyecto ya tiene presupuestada y que usted puede encontrar en los renglones «Lo que se le entrega a cada hogar» y «Lo que se le entrega a cada establecimiento».</t>
        </is>
      </c>
      <c r="C190" s="15" t="n"/>
      <c r="D190" s="15" t="n"/>
      <c r="E190" s="15" t="n"/>
      <c r="F190" s="15" t="n"/>
      <c r="G190" s="1" t="n"/>
    </row>
    <row r="191" ht="20" customHeight="1">
      <c r="A191" s="1" t="n"/>
      <c r="B191" s="170" t="inlineStr">
        <is>
          <t>8.1  Lo que gana una familia</t>
        </is>
      </c>
      <c r="C191" s="170" t="n"/>
      <c r="D191" s="170" t="n"/>
      <c r="E191" s="170" t="n"/>
      <c r="F191" s="170" t="n"/>
      <c r="G191" s="1" t="n"/>
    </row>
    <row r="192" ht="30" customHeight="1">
      <c r="A192" s="1" t="n"/>
      <c r="B192" s="171" t="inlineStr">
        <is>
          <t>Lo que recibe</t>
        </is>
      </c>
      <c r="C192" s="171" t="inlineStr">
        <is>
          <t>Cada cuánto</t>
        </is>
      </c>
      <c r="D192" s="171" t="inlineStr">
        <is>
          <t>Valor</t>
        </is>
      </c>
      <c r="E192" s="171" t="inlineStr">
        <is>
          <t>Dónde está contado</t>
        </is>
      </c>
      <c r="F192" s="172" t="n"/>
      <c r="G192" s="1" t="n"/>
    </row>
    <row r="193" ht="28.0545" customHeight="1">
      <c r="A193" s="1" t="n"/>
      <c r="B193" s="19" t="inlineStr">
        <is>
          <t>El aparato instalado en la cocina</t>
        </is>
      </c>
      <c r="C193" s="20" t="inlineStr">
        <is>
          <t>Una sola vez, al entrar al programa</t>
        </is>
      </c>
      <c r="D193" s="173" t="n">
        <v>258044</v>
      </c>
      <c r="E193" s="47" t="inlineStr">
        <is>
          <t>Queda en propiedad del hogar. Si la familia se retira del programa no se lo quitan.</t>
        </is>
      </c>
      <c r="F193" s="93" t="n"/>
      <c r="G193" s="1" t="n"/>
    </row>
    <row r="194" ht="28.0545" customHeight="1">
      <c r="A194" s="1" t="n"/>
      <c r="B194" s="21" t="inlineStr">
        <is>
          <t>Las bolsas compostables</t>
        </is>
      </c>
      <c r="C194" s="22" t="inlineStr">
        <is>
          <t>26 bolsas al año</t>
        </is>
      </c>
      <c r="D194" s="174" t="n">
        <v>7800</v>
      </c>
      <c r="E194" s="49" t="inlineStr">
        <is>
          <t>Las deja el operario en cada visita. La familia nunca compra una bolsa.</t>
        </is>
      </c>
      <c r="F194" s="93" t="n"/>
      <c r="G194" s="1" t="n"/>
    </row>
    <row r="195" ht="28.0545" customHeight="1">
      <c r="A195" s="1" t="n"/>
      <c r="B195" s="19" t="inlineStr">
        <is>
          <t>El cartucho de carbón</t>
        </is>
      </c>
      <c r="C195" s="20" t="inlineStr">
        <is>
          <t>1 cartucho al año</t>
        </is>
      </c>
      <c r="D195" s="173" t="n">
        <v>6500</v>
      </c>
      <c r="E195" s="47" t="inlineStr">
        <is>
          <t>Es el que evita el olor en la cocina. Lo cambia el operario.</t>
        </is>
      </c>
      <c r="F195" s="93" t="n"/>
      <c r="G195" s="1" t="n"/>
    </row>
    <row r="196" ht="28.0545" customHeight="1">
      <c r="A196" s="1" t="n"/>
      <c r="B196" s="21" t="inlineStr">
        <is>
          <t>El material seco</t>
        </is>
      </c>
      <c r="C196" s="22" t="inlineStr">
        <is>
          <t>6 kilos al año</t>
        </is>
      </c>
      <c r="D196" s="174" t="n">
        <v>3000</v>
      </c>
      <c r="E196" s="49" t="inlineStr">
        <is>
          <t>Aserrín o biochar para echar encima después de cada uso.</t>
        </is>
      </c>
      <c r="F196" s="93" t="n"/>
      <c r="G196" s="1" t="n"/>
    </row>
    <row r="197" ht="44.309" customHeight="1">
      <c r="A197" s="1" t="n"/>
      <c r="B197" s="19" t="inlineStr">
        <is>
          <t>El incentivo en dinero</t>
        </is>
      </c>
      <c r="C197" s="20" t="inlineStr">
        <is>
          <t>Hasta $1,500 al mes según los kilos entregados</t>
        </is>
      </c>
      <c r="D197" s="173" t="n">
        <v>18000</v>
      </c>
      <c r="E197" s="47" t="inlineStr">
        <is>
          <t>Abonado a la cuenta del acueducto de la familia. No es un descuento en la tarifa, que la ley prohíbe: es un pago que hace un tercero.</t>
        </is>
      </c>
      <c r="F197" s="93" t="n"/>
      <c r="G197" s="1" t="n"/>
    </row>
    <row r="198" ht="27.19899999999999" customHeight="1">
      <c r="A198" s="1" t="n"/>
      <c r="B198" s="175" t="inlineStr">
        <is>
          <t>VALOR QUE RECIBE CADA FAMILIA AL AÑO</t>
        </is>
      </c>
      <c r="C198" s="176" t="n"/>
      <c r="D198" s="177">
        <f>SUM(D194:D197)</f>
        <v/>
      </c>
      <c r="E198" s="178" t="inlineStr">
        <is>
          <t>Los cuatro renglones recurrentes. El aparato no se suma porque se entrega una sola vez.</t>
        </is>
      </c>
      <c r="F198" s="176" t="n"/>
      <c r="G198" s="1" t="n"/>
    </row>
    <row r="199" ht="44.309" customHeight="1">
      <c r="A199" s="1" t="n"/>
      <c r="B199" s="19" t="inlineStr">
        <is>
          <t>(−) Lo que le cuesta a la familia la luz del aparato</t>
        </is>
      </c>
      <c r="C199" s="20" t="inlineStr">
        <is>
          <t>Medio kilovatio hora al mes, con el subsidio de estrato 1 o 2</t>
        </is>
      </c>
      <c r="D199" s="179" t="n">
        <v>2592</v>
      </c>
      <c r="E199" s="47" t="inlineStr">
        <is>
          <t>Es el único costo que asume el hogar. Con la tarifa de Enel-Codensa y el subsidio vigente son entre $173 y $216 al mes.</t>
        </is>
      </c>
      <c r="F199" s="93" t="n"/>
      <c r="G199" s="1" t="n"/>
    </row>
    <row r="200" ht="27.19899999999999" customHeight="1">
      <c r="A200" s="1" t="n"/>
      <c r="B200" s="175" t="inlineStr">
        <is>
          <t>BENEFICIO NETO PARA LA FAMILIA AL AÑO</t>
        </is>
      </c>
      <c r="C200" s="176" t="n"/>
      <c r="D200" s="177">
        <f>D198-D199</f>
        <v/>
      </c>
      <c r="E200" s="178" t="inlineStr">
        <is>
          <t>Lo que recibe menos lo que gasta. Al mes son unos $2,726.</t>
        </is>
      </c>
      <c r="F200" s="176" t="n"/>
      <c r="G200" s="1" t="n"/>
    </row>
    <row r="201" ht="27.19899999999999" customHeight="1">
      <c r="A201" s="1" t="n"/>
      <c r="B201" s="175" t="inlineStr">
        <is>
          <t>MÁS EL APARATO, LA PRIMERA VEZ</t>
        </is>
      </c>
      <c r="C201" s="176" t="n"/>
      <c r="D201" s="177">
        <f>D193</f>
        <v/>
      </c>
      <c r="E201" s="178" t="inlineStr">
        <is>
          <t>Queda en propiedad de la familia.</t>
        </is>
      </c>
      <c r="F201" s="176" t="n"/>
      <c r="G201" s="1" t="n"/>
    </row>
    <row r="202" ht="8" customHeight="1">
      <c r="A202" s="1" t="n"/>
      <c r="B202" s="1" t="n"/>
      <c r="C202" s="1" t="n"/>
      <c r="D202" s="1" t="n"/>
      <c r="E202" s="1" t="n"/>
      <c r="F202" s="1" t="n"/>
      <c r="G202" s="1" t="n"/>
    </row>
    <row r="203" ht="20" customHeight="1">
      <c r="A203" s="1" t="n"/>
      <c r="B203" s="29" t="inlineStr">
        <is>
          <t>El incentivo al hogar, explicado</t>
        </is>
      </c>
      <c r="C203" s="29" t="n"/>
      <c r="D203" s="29" t="n"/>
      <c r="E203" s="29" t="n"/>
      <c r="F203" s="29" t="n"/>
      <c r="G203" s="1" t="n"/>
    </row>
    <row r="204" ht="245.98" customHeight="1">
      <c r="A204" s="1" t="n"/>
      <c r="B204" s="180" t="inlineStr">
        <is>
          <t>CÓMO SE ENTREGA EL INCENTIVO, Y POR QUÉ NO PUEDE SER UN DESCUENTO EN LA FACTURA
El numeral 9 del artículo 99 de la Ley 142 de 1994 prohíbe hacer descuentos sobre el valor facturado de un servicio público, y el artículo 87.2 obliga a la neutralidad tarifaria: dos usuarios iguales deben pagar lo mismo. Además, un hogar de estrato 1 ya recibe el subsidio máximo que permite la ley, 70 %, de modo que no hay margen para bajarle más la tarifa.
La salida legal es otra y es sólida: el pago por cuenta de un tercero, que el artículo 1630 del Código Civil permite expresamente. El programa no toca la tarifa: abona dinero a la cuenta contrato de la familia en la Empresa de Acueducto y Alcantarillado. La familia sigue teniendo la misma tarifa que su vecino, pero una parte de su factura ya está pagada.
CÓMO SE GANA
La báscula del aparato pesa lo que entrega la familia y el operario verifica la calidad de la separación en cada visita. Los puntos se acumulan por kilo y se multiplican por un factor de calidad. Un hogar que entrega sus 14 kilos al mes con buena separación llega al tope de $1,500; uno que entrega la mitad o mezcla inorgánicos recibe proporcionalmente menos.
PARA DIMENSIONARLO
Un hogar de estrato 1 de Usme paga $13,462 al mes por todo el servicio de aseo, es decir $161,544 al año. El paquete recurrente que recibe vale $35,300 y la luz del aparato le cuesta $2,592, de modo que el beneficio neto es de $32,708 al año: el 20 % de esa factura. Y además se queda con un aparato de $258,044. A eso se suma lo que no se puede poner en pesos: la cocina deja de oler, se acaban las moscas y el goteo de la bolsa, y el andén del barrio deja de tener puntos de basura.</t>
        </is>
      </c>
      <c r="C204" s="180" t="n"/>
      <c r="D204" s="180" t="n"/>
      <c r="E204" s="180" t="n"/>
      <c r="F204" s="180" t="n"/>
      <c r="G204" s="1" t="n"/>
    </row>
    <row r="205" ht="10" customHeight="1">
      <c r="A205" s="1" t="n"/>
      <c r="B205" s="1" t="n"/>
      <c r="C205" s="1" t="n"/>
      <c r="D205" s="1" t="n"/>
      <c r="E205" s="1" t="n"/>
      <c r="F205" s="1" t="n"/>
      <c r="G205" s="1" t="n"/>
    </row>
    <row r="206" ht="20" customHeight="1">
      <c r="A206" s="1" t="n"/>
      <c r="B206" s="170" t="inlineStr">
        <is>
          <t>8.2  Lo que gana un establecimiento</t>
        </is>
      </c>
      <c r="C206" s="170" t="n"/>
      <c r="D206" s="170" t="n"/>
      <c r="E206" s="170" t="n"/>
      <c r="F206" s="170" t="n"/>
      <c r="G206" s="1" t="n"/>
    </row>
    <row r="207" ht="34.22" customHeight="1">
      <c r="A207" s="1" t="n"/>
      <c r="B207" s="118" t="inlineStr">
        <is>
          <t>El caso de un restaurante de tamaño medio, que genera 18 kilos al día, es decir 5.4 toneladas al año. A diferencia del hogar, el establecimiento sí paga por el servicio, pero deja de pagar bastante más en su factura de aseo.</t>
        </is>
      </c>
      <c r="C207" s="118" t="n"/>
      <c r="D207" s="118" t="n"/>
      <c r="E207" s="118" t="n"/>
      <c r="F207" s="118" t="n"/>
      <c r="G207" s="1" t="n"/>
    </row>
    <row r="208" ht="30" customHeight="1">
      <c r="A208" s="1" t="n"/>
      <c r="B208" s="171" t="inlineStr">
        <is>
          <t>Concepto</t>
        </is>
      </c>
      <c r="C208" s="171" t="inlineStr">
        <is>
          <t>De qué se trata</t>
        </is>
      </c>
      <c r="D208" s="171" t="inlineStr">
        <is>
          <t>Valor al año</t>
        </is>
      </c>
      <c r="E208" s="171" t="inlineStr">
        <is>
          <t>Explicación</t>
        </is>
      </c>
      <c r="F208" s="172" t="n"/>
      <c r="G208" s="1" t="n"/>
    </row>
    <row r="209" ht="44.309" customHeight="1">
      <c r="A209" s="1" t="n"/>
      <c r="B209" s="19" t="inlineStr">
        <is>
          <t>El aparato instalado en la cocina</t>
        </is>
      </c>
      <c r="C209" s="20" t="inlineStr">
        <is>
          <t>En comodato mientras dure el contrato</t>
        </is>
      </c>
      <c r="D209" s="181" t="n">
        <v>3853145</v>
      </c>
      <c r="E209" s="47" t="inlineStr">
        <is>
          <t>El equipo sigue siendo del programa, que responde por el mantenimiento y por el cambio de piezas. El establecimiento no invierte capital.</t>
        </is>
      </c>
      <c r="F209" s="93" t="n"/>
      <c r="G209" s="1" t="n"/>
    </row>
    <row r="210" ht="28.0545" customHeight="1">
      <c r="A210" s="1" t="n"/>
      <c r="B210" s="21" t="inlineStr">
        <is>
          <t>Los contenedores rodantes</t>
        </is>
      </c>
      <c r="C210" s="22" t="inlineStr">
        <is>
          <t>Dos por establecimiento, intercambiables</t>
        </is>
      </c>
      <c r="D210" s="182" t="n">
        <v>410000</v>
      </c>
      <c r="E210" s="49" t="inlineStr">
        <is>
          <t>El operario deja uno limpio y se lleva el lleno. El lavado corre por cuenta del programa.</t>
        </is>
      </c>
      <c r="F210" s="93" t="n"/>
      <c r="G210" s="1" t="n"/>
    </row>
    <row r="211" ht="44.309" customHeight="1">
      <c r="A211" s="1" t="n"/>
      <c r="B211" s="19" t="inlineStr">
        <is>
          <t>Lo que deja de pagar en su factura de aseo</t>
        </is>
      </c>
      <c r="C211" s="20" t="inlineStr">
        <is>
          <t>5.4 toneladas al año que salen de su aforo</t>
        </is>
      </c>
      <c r="D211" s="173" t="n">
        <v>1032426</v>
      </c>
      <c r="E211" s="47" t="inlineStr">
        <is>
          <t>Un gran generador paga el servicio de aseo por aforo. Al sacar los orgánicos de ese aforo, su factura baja en la misma proporción.</t>
        </is>
      </c>
      <c r="F211" s="93" t="n"/>
      <c r="G211" s="1" t="n"/>
    </row>
    <row r="212" ht="28.0545" customHeight="1">
      <c r="A212" s="1" t="n"/>
      <c r="B212" s="21" t="inlineStr">
        <is>
          <t>Lo que le paga al programa</t>
        </is>
      </c>
      <c r="C212" s="22" t="inlineStr">
        <is>
          <t>5.4 toneladas al año por $140,000</t>
        </is>
      </c>
      <c r="D212" s="183" t="n">
        <v>-756000</v>
      </c>
      <c r="E212" s="49" t="inlineStr">
        <is>
          <t>Es el único desembolso del establecimiento.</t>
        </is>
      </c>
      <c r="F212" s="93" t="n"/>
      <c r="G212" s="1" t="n"/>
    </row>
    <row r="213" ht="27.19899999999999" customHeight="1">
      <c r="A213" s="1" t="n"/>
      <c r="B213" s="175" t="inlineStr">
        <is>
          <t>LO QUE GANA EL ESTABLECIMIENTO CADA AÑO, EN DINERO</t>
        </is>
      </c>
      <c r="C213" s="176" t="n"/>
      <c r="D213" s="177">
        <f>D211+D212</f>
        <v/>
      </c>
      <c r="E213" s="178" t="inlineStr">
        <is>
          <t>Lo que deja de pagar en su factura de aseo menos lo que le paga al programa.</t>
        </is>
      </c>
      <c r="F213" s="176" t="n"/>
      <c r="G213" s="1" t="n"/>
    </row>
    <row r="214" ht="8" customHeight="1">
      <c r="A214" s="1" t="n"/>
      <c r="B214" s="1" t="n"/>
      <c r="C214" s="1" t="n"/>
      <c r="D214" s="1" t="n"/>
      <c r="E214" s="1" t="n"/>
      <c r="F214" s="1" t="n"/>
      <c r="G214" s="1" t="n"/>
    </row>
    <row r="215" ht="20" customHeight="1">
      <c r="A215" s="1" t="n"/>
      <c r="B215" s="29" t="inlineStr">
        <is>
          <t>Dos preguntas sobre los establecimientos</t>
        </is>
      </c>
      <c r="C215" s="29" t="n"/>
      <c r="D215" s="29" t="n"/>
      <c r="E215" s="29" t="n"/>
      <c r="F215" s="29" t="n"/>
      <c r="G215" s="1" t="n"/>
    </row>
    <row r="216" ht="206.854" customHeight="1">
      <c r="A216" s="1" t="n"/>
      <c r="B216" s="180" t="inlineStr">
        <is>
          <t>POR QUÉ AL ESTABLECIMIENTO NO SE LE REGALA EL APARATO Y AL HOGAR SÍ
Son dos decisiones distintas y las dos son deliberadas. Al hogar se le entrega el aparato en propiedad porque una familia de estrato 1 no cuida ni usa un equipo que siente prestado, y porque el equipo cuesta $258,044, una cifra manejable dentro de la inversión. Al establecimiento se le entrega en comodato, es decir en préstamo mientras dure el contrato, por tres razones: el equipo cuesta quince veces más, el programa responde por su mantenimiento y por el cambio de piezas, y si el establecimiento cierra o se retira, el aparato se traslada a otro. En ninguno de los dos casos el usuario aporta dinero para el equipo.
POR QUÉ LE CONVIENE AL ESTABLECIMIENTO
Hoy un gran generador paga el servicio de aseo por aforo, es decir por las toneladas que efectivamente produce. Al sacar los orgánicos de ese aforo, su factura baja en $1,032,426 al año. Le paga al programa $756,000. La diferencia a su favor es de $276,426 al año, y además recibe el equipo, el mantenimiento y los contenedores sin poner un peso.
Y HAY UNA RAZÓN QUE NO ES ECONÓMICA
La Resolución 2184 de 2019 obliga a separar los residuos en la fuente, y las secretarías de salud y de ambiente inspeccionan las cocinas comerciales. Un establecimiento con este equipo tiene resuelto el cumplimiento, con soporte de cada entrega pesada y fechada, y recibe un certificado anual de gestión de residuos orgánicos que puede exhibir.</t>
        </is>
      </c>
      <c r="C216" s="180" t="n"/>
      <c r="D216" s="180" t="n"/>
      <c r="E216" s="180" t="n"/>
      <c r="F216" s="180" t="n"/>
      <c r="G216" s="1" t="n"/>
    </row>
    <row r="217" ht="10" customHeight="1">
      <c r="A217" s="1" t="n"/>
      <c r="B217" s="1" t="n"/>
      <c r="C217" s="1" t="n"/>
      <c r="D217" s="1" t="n"/>
      <c r="E217" s="1" t="n"/>
      <c r="F217" s="1" t="n"/>
      <c r="G217" s="1" t="n"/>
    </row>
    <row r="218" ht="20" customHeight="1">
      <c r="A218" s="1" t="n"/>
      <c r="B218" s="170" t="inlineStr">
        <is>
          <t>8.3  Qué pasa si el aparato se daña</t>
        </is>
      </c>
      <c r="C218" s="170" t="n"/>
      <c r="D218" s="170" t="n"/>
      <c r="E218" s="170" t="n"/>
      <c r="F218" s="170" t="n"/>
      <c r="G218" s="1" t="n"/>
    </row>
    <row r="219" ht="47.33" customHeight="1">
      <c r="A219" s="1" t="n"/>
      <c r="B219" s="118" t="inlineStr">
        <is>
          <t>Entregar doce mil aparatos sin decir qué pasa cuando alguno falla dejaría el proyecto a medio formular. Estas son las cinco situaciones posibles y quién responde por cada una. El dinero para todas ellas ya está en las cuentas: el inventario de reserva está en la inversión de la sección 3.1, y las reparaciones en el rubro de reposición de la sección 4.1.</t>
        </is>
      </c>
      <c r="C219" s="118" t="n"/>
      <c r="D219" s="118" t="n"/>
      <c r="E219" s="118" t="n"/>
      <c r="F219" s="118" t="n"/>
      <c r="G219" s="1" t="n"/>
    </row>
    <row r="220" ht="30" customHeight="1">
      <c r="A220" s="1" t="n"/>
      <c r="B220" s="171" t="inlineStr">
        <is>
          <t>Situación</t>
        </is>
      </c>
      <c r="C220" s="171" t="inlineStr">
        <is>
          <t>Quién responde</t>
        </is>
      </c>
      <c r="D220" s="171" t="inlineStr">
        <is>
          <t>Qué le cuesta al usuario</t>
        </is>
      </c>
      <c r="E220" s="171" t="inlineStr">
        <is>
          <t>Cómo opera</t>
        </is>
      </c>
      <c r="F220" s="172" t="n"/>
      <c r="G220" s="1" t="n"/>
    </row>
    <row r="221" ht="60.5635" customHeight="1">
      <c r="A221" s="1" t="n"/>
      <c r="B221" s="19" t="inlineStr">
        <is>
          <t>Defecto de fábrica dentro de los primeros 24 meses</t>
        </is>
      </c>
      <c r="C221" s="184" t="inlineStr">
        <is>
          <t>El fabricante, por garantía</t>
        </is>
      </c>
      <c r="D221" s="185" t="inlineStr">
        <is>
          <t>Cero para la familia</t>
        </is>
      </c>
      <c r="E221" s="20" t="inlineStr">
        <is>
          <t>El operario detecta la falla en la ruta o la familia la reporta por WhatsApp. En la siguiente visita se cambia el aparato por uno del inventario de reserva y el dañado va al taller. La reserva del 4 % que se incluye en el costo de fabricacion es la que cubre esto.</t>
        </is>
      </c>
      <c r="F221" s="93" t="n"/>
      <c r="G221" s="1" t="n"/>
    </row>
    <row r="222" ht="60.5635" customHeight="1">
      <c r="A222" s="1" t="n"/>
      <c r="B222" s="21" t="inlineStr">
        <is>
          <t>Desgaste normal después de los 24 meses</t>
        </is>
      </c>
      <c r="C222" s="186" t="inlineStr">
        <is>
          <t>El programa</t>
        </is>
      </c>
      <c r="D222" s="187" t="inlineStr">
        <is>
          <t>Cero para la familia</t>
        </is>
      </c>
      <c r="E222" s="22" t="inlineStr">
        <is>
          <t>Se cambia la pieza gastada, casi siempre el anillo de corte, el empaque de la tapa o el rodamiento. Todas son piezas diseñadas para cambiarse sin desmontar el resto, y su costo esta en el rubro de reposición y reparación de la sección 4.1.</t>
        </is>
      </c>
      <c r="F222" s="93" t="n"/>
      <c r="G222" s="1" t="n"/>
    </row>
    <row r="223" ht="76.81799999999998" customHeight="1">
      <c r="A223" s="1" t="n"/>
      <c r="B223" s="19" t="inlineStr">
        <is>
          <t>Dano por mal uso comprobado</t>
        </is>
      </c>
      <c r="C223" s="184" t="inlineStr">
        <is>
          <t>Compartido</t>
        </is>
      </c>
      <c r="D223" s="185" t="inlineStr">
        <is>
          <t>La primera vez no cuesta nada; la segunda, el 30 % de la pieza</t>
        </is>
      </c>
      <c r="E223" s="20" t="inlineStr">
        <is>
          <t>Mal uso quiere decir meter metal, vidrio o piedra, lavar el aparato con manguera o golpearlo. La primera vez se repara sin costo y se firma un acta de compromiso con acompañamiento del gestor social. Si vuelve a ocurrir, la familia aporta el 30 % del valor de la pieza, con tope de $40,000 y opción de pagarlo en tres cuotas descontadas del incentivo. El aparato no se retira nunca.</t>
        </is>
      </c>
      <c r="F223" s="93" t="n"/>
      <c r="G223" s="1" t="n"/>
    </row>
    <row r="224" ht="44.309" customHeight="1">
      <c r="A224" s="1" t="n"/>
      <c r="B224" s="21" t="inlineStr">
        <is>
          <t>Pérdida o hurto del aparato</t>
        </is>
      </c>
      <c r="C224" s="186" t="inlineStr">
        <is>
          <t>El programa la primera vez</t>
        </is>
      </c>
      <c r="D224" s="187" t="inlineStr">
        <is>
          <t>Cero la primera vez</t>
        </is>
      </c>
      <c r="E224" s="22" t="inlineStr">
        <is>
          <t>Se repone una sola vez con denuncia. Si ocurre una segunda, el hogar conserva el servicio de recolección pero sale del sistema de incentivos durante seis meses.</t>
        </is>
      </c>
      <c r="F224" s="93" t="n"/>
      <c r="G224" s="1" t="n"/>
    </row>
    <row r="225" ht="60.5635" customHeight="1">
      <c r="A225" s="1" t="n"/>
      <c r="B225" s="19" t="inlineStr">
        <is>
          <t>Aparato de un establecimiento</t>
        </is>
      </c>
      <c r="C225" s="184" t="inlineStr">
        <is>
          <t>El programa, siempre</t>
        </is>
      </c>
      <c r="D225" s="185" t="inlineStr">
        <is>
          <t>Cero para el establecimiento</t>
        </is>
      </c>
      <c r="E225" s="20" t="inlineStr">
        <is>
          <t>Como el equipo comercial esta en comodato y sigue siendo del programa, todo mantenimiento y toda reposición corren por cuenta del programa. A cambio, el establecimiento se obliga por contrato a usarlo solo con residuo orgánico y a permitir la revisión trimestral.</t>
        </is>
      </c>
      <c r="F225" s="93" t="n"/>
      <c r="G225" s="1" t="n"/>
    </row>
    <row r="226" ht="8" customHeight="1">
      <c r="A226" s="1" t="n"/>
      <c r="B226" s="1" t="n"/>
      <c r="C226" s="1" t="n"/>
      <c r="D226" s="1" t="n"/>
      <c r="E226" s="1" t="n"/>
      <c r="F226" s="1" t="n"/>
      <c r="G226" s="1" t="n"/>
    </row>
    <row r="227" ht="20" customHeight="1">
      <c r="A227" s="1" t="n"/>
      <c r="B227" s="29" t="inlineStr">
        <is>
          <t>De dónde sale el dinero de las reparaciones</t>
        </is>
      </c>
      <c r="C227" s="29" t="n"/>
      <c r="D227" s="29" t="n"/>
      <c r="E227" s="29" t="n"/>
      <c r="F227" s="29" t="n"/>
      <c r="G227" s="1" t="n"/>
    </row>
    <row r="228" ht="190.5995" customHeight="1">
      <c r="A228" s="1" t="n"/>
      <c r="B228" s="180" t="inlineStr">
        <is>
          <t>CUÁNTO DINERO HAY RESERVADO Y PARA QUÉ ALCANZA
Hay tres bolsas distintas, y conviene no confundirlas. La primera está dentro del costo de fabricación de cada aparato: una reserva del 4 % que cubre la garantía de los primeros veinticuatro meses. La segunda es el inventario de reserva de la sección 3.1: 360 aparatos domésticos y 10 comerciales en bodega, por $131,427,290, que son los que permiten cambiar un equipo el mismo día. Y la tercera es el rubro anual de reposición y reparación de la sección 4.1: $77,413,200 para los hogares y $39,995,645 para los establecimientos, que equivalen al 2.5 % y al 3 % del valor de cada parque.
Para dimensionarlo: los $77,413,200 anuales alcanzan para reemplazar 300 aparatos domésticos completos al año, el 2.5 % del parque. Como la mayoría de las intervenciones son cambios de una pieza y no del equipo entero, en la práctica esa cifra cubre alrededor de 1,200 intervenciones al año, es decir una por cada diez hogares.
POR QUÉ NUNCA SE LE COBRA EL APARATO COMPLETO A LA FAMILIA
Porque sería contraproducente. Una familia de estrato 1 que teme una cuenta de $258,044 deja de usar el aparato antes que arriesgarse, y un aparato apagado no sirve de nada al programa. El único caso en que la familia aporta dinero es el mal uso reincidente, con un tope de $40,000 pagaderos en tres cuotas descontadas del incentivo, y aun así el equipo no se retira.</t>
        </is>
      </c>
      <c r="C228" s="180" t="n"/>
      <c r="D228" s="180" t="n"/>
      <c r="E228" s="180" t="n"/>
      <c r="F228" s="180" t="n"/>
      <c r="G228" s="1" t="n"/>
    </row>
    <row r="229" ht="14" customHeight="1">
      <c r="A229" s="1" t="n"/>
      <c r="B229" s="1" t="n"/>
      <c r="C229" s="1" t="n"/>
      <c r="D229" s="1" t="n"/>
      <c r="E229" s="1" t="n"/>
      <c r="F229" s="1" t="n"/>
      <c r="G229" s="1" t="n"/>
    </row>
    <row r="230" ht="26" customHeight="1">
      <c r="A230" s="1" t="n"/>
      <c r="B230" s="14" t="inlineStr">
        <is>
          <t>9.   Qué gana la ciudad</t>
        </is>
      </c>
      <c r="C230" s="14" t="n"/>
      <c r="D230" s="14" t="n"/>
      <c r="E230" s="14" t="n"/>
      <c r="F230" s="14" t="n"/>
      <c r="G230" s="1" t="n"/>
    </row>
    <row r="231" ht="46.02" customHeight="1">
      <c r="A231" s="1" t="n"/>
      <c r="B231" s="15" t="inlineStr">
        <is>
          <t>El proyecto necesita aporte público, y para juzgar si ese aporte vale la pena hay que restarle lo que la ciudad deja de gastar. Las toneladas domiciliarias que el programa recoge hoy las recoge, transporta y entierra el operador de aseo, y eso ya cuesta dinero. Ese gasto desaparece.</t>
        </is>
      </c>
      <c r="C231" s="15" t="n"/>
      <c r="D231" s="15" t="n"/>
      <c r="E231" s="15" t="n"/>
      <c r="F231" s="15" t="n"/>
      <c r="G231" s="1" t="n"/>
    </row>
    <row r="232" ht="30" customHeight="1">
      <c r="A232" s="1" t="n"/>
      <c r="B232" s="66" t="inlineStr">
        <is>
          <t>Concepto</t>
        </is>
      </c>
      <c r="C232" s="66" t="inlineStr">
        <is>
          <t>Cómo se calcula</t>
        </is>
      </c>
      <c r="D232" s="66" t="inlineStr">
        <is>
          <t>Valor al año</t>
        </is>
      </c>
      <c r="E232" s="66" t="inlineStr">
        <is>
          <t>Qué representa</t>
        </is>
      </c>
      <c r="F232" s="188" t="n"/>
      <c r="G232" s="1" t="n"/>
    </row>
    <row r="233" ht="44.309" customHeight="1">
      <c r="A233" s="1" t="n"/>
      <c r="B233" s="20" t="inlineStr">
        <is>
          <t>Lo que la ciudad gasta hoy en esas toneladas</t>
        </is>
      </c>
      <c r="C233" s="20" t="inlineStr">
        <is>
          <t>2,032 toneladas domiciliarias × $191,190 de la cadena actual</t>
        </is>
      </c>
      <c r="D233" s="27">
        <f>D32*D22</f>
        <v/>
      </c>
      <c r="E233" s="20" t="inlineStr">
        <is>
          <t>Recolección, transporte, relleno y tratamiento de lixiviados. Es dinero que ya sale del presupuesto todos los años.</t>
        </is>
      </c>
      <c r="F233" s="93" t="n"/>
      <c r="G233" s="1" t="n"/>
    </row>
    <row r="234" ht="28.0545" customHeight="1">
      <c r="A234" s="1" t="n"/>
      <c r="B234" s="22" t="inlineStr">
        <is>
          <t>Lo que le pagaría al programa por el contrato</t>
        </is>
      </c>
      <c r="C234" s="22" t="inlineStr">
        <is>
          <t>2,032 toneladas × $150,000 de la tarifa del contrato</t>
        </is>
      </c>
      <c r="D234" s="28">
        <f>D32*D17</f>
        <v/>
      </c>
      <c r="E234" s="22" t="inlineStr">
        <is>
          <t>Es el primer ingreso de la sección 6, visto desde el lado de quien paga.</t>
        </is>
      </c>
      <c r="F234" s="93" t="n"/>
      <c r="G234" s="1" t="n"/>
    </row>
    <row r="235" ht="44.309" customHeight="1">
      <c r="A235" s="1" t="n"/>
      <c r="B235" s="20" t="inlineStr">
        <is>
          <t>Más los aportes públicos a la operación</t>
        </is>
      </c>
      <c r="C235" s="20" t="inlineStr">
        <is>
          <t>La suma de las tres fuentes públicas de la sección 4.2</t>
        </is>
      </c>
      <c r="D235" s="27">
        <f>D130-D154</f>
        <v/>
      </c>
      <c r="E235" s="20" t="inlineStr">
        <is>
          <t>El Incentivo al Aprovechamiento, el Fondo de Desarrollo Local y el presupuesto de la UAESP.</t>
        </is>
      </c>
      <c r="F235" s="93" t="n"/>
      <c r="G235" s="1" t="n"/>
    </row>
    <row r="236" ht="28.0545" customHeight="1">
      <c r="A236" s="1" t="n"/>
      <c r="B236" s="101" t="inlineStr">
        <is>
          <t>Lo que la ciudad gastaría con el programa</t>
        </is>
      </c>
      <c r="C236" s="102" t="inlineStr">
        <is>
          <t>El contrato más los aportes</t>
        </is>
      </c>
      <c r="D236" s="189">
        <f>D234+D235</f>
        <v/>
      </c>
      <c r="E236" s="102" t="inlineStr">
        <is>
          <t>El gasto público total del nuevo esquema.</t>
        </is>
      </c>
      <c r="F236" s="93" t="n"/>
      <c r="G236" s="1" t="n"/>
    </row>
    <row r="237" ht="28.0545" customHeight="1">
      <c r="A237" s="1" t="n"/>
      <c r="B237" s="101" t="inlineStr">
        <is>
          <t>COSTO ADICIONAL REAL PARA LA CIUDAD</t>
        </is>
      </c>
      <c r="C237" s="102" t="inlineStr">
        <is>
          <t>Lo que gastaría menos lo que ya gasta hoy</t>
        </is>
      </c>
      <c r="D237" s="190">
        <f>D236-D233</f>
        <v/>
      </c>
      <c r="E237" s="102" t="inlineStr">
        <is>
          <t>Esta es la cifra con la que hay que juzgar el proyecto, porque descuenta lo que la ciudad deja de gastar.</t>
        </is>
      </c>
      <c r="F237" s="93" t="n"/>
      <c r="G237" s="1" t="n"/>
    </row>
    <row r="238" ht="44.309" customHeight="1">
      <c r="A238" s="1" t="n"/>
      <c r="B238" s="101" t="inlineStr">
        <is>
          <t>Costo adicional por hogar al mes</t>
        </is>
      </c>
      <c r="C238" s="102" t="inlineStr">
        <is>
          <t>El costo adicional, repartido entre los 12,000 hogares y entre los 12 meses del año</t>
        </is>
      </c>
      <c r="D238" s="190">
        <f>D237/D10/12</f>
        <v/>
      </c>
      <c r="E238" s="102" t="inlineStr">
        <is>
          <t>Menos de lo que cuesta un pasaje de TransMilenio, por hogar, al mes.</t>
        </is>
      </c>
      <c r="F238" s="93" t="n"/>
      <c r="G238" s="1" t="n"/>
    </row>
    <row r="239" ht="10" customHeight="1">
      <c r="A239" s="1" t="n"/>
      <c r="B239" s="1" t="n"/>
      <c r="C239" s="1" t="n"/>
      <c r="D239" s="1" t="n"/>
      <c r="E239" s="1" t="n"/>
      <c r="F239" s="1" t="n"/>
      <c r="G239" s="1" t="n"/>
    </row>
    <row r="240" ht="20" customHeight="1">
      <c r="A240" s="1" t="n"/>
      <c r="B240" s="191" t="inlineStr">
        <is>
          <t>9.1  Lo que la ciudad recibe además del dinero</t>
        </is>
      </c>
      <c r="C240" s="191" t="n"/>
      <c r="D240" s="191" t="n"/>
      <c r="E240" s="191" t="n"/>
      <c r="F240" s="191" t="n"/>
      <c r="G240" s="1" t="n"/>
    </row>
    <row r="241" ht="30" customHeight="1">
      <c r="A241" s="1" t="n"/>
      <c r="B241" s="18" t="inlineStr">
        <is>
          <t>Beneficio</t>
        </is>
      </c>
      <c r="C241" s="18" t="inlineStr">
        <is>
          <t>Cómo se mide</t>
        </is>
      </c>
      <c r="D241" s="18" t="inlineStr">
        <is>
          <t>Cuánto al año</t>
        </is>
      </c>
      <c r="E241" s="18" t="inlineStr">
        <is>
          <t>Por qué importa</t>
        </is>
      </c>
      <c r="F241" s="99" t="n"/>
      <c r="G241" s="1" t="n"/>
    </row>
    <row r="242" ht="44.309" customHeight="1">
      <c r="A242" s="1" t="n"/>
      <c r="B242" s="19" t="inlineStr">
        <is>
          <t>Emisiones evitadas</t>
        </is>
      </c>
      <c r="C242" s="20" t="inlineStr">
        <is>
          <t>5,032 toneladas × 0.8 toneladas de CO₂ por tonelada desviada</t>
        </is>
      </c>
      <c r="D242" s="192" t="inlineStr">
        <is>
          <t>4,026 toneladas de CO₂</t>
        </is>
      </c>
      <c r="E242" s="20" t="inlineStr">
        <is>
          <t>A precio del impuesto al carbono serían $117,031,634. Doña Juana responde por el 3.8 % del metano nacional.</t>
        </is>
      </c>
      <c r="F242" s="93" t="n"/>
      <c r="G242" s="1" t="n"/>
    </row>
    <row r="243" ht="44.309" customHeight="1">
      <c r="A243" s="1" t="n"/>
      <c r="B243" s="21" t="inlineStr">
        <is>
          <t>Abono devuelto al suelo</t>
        </is>
      </c>
      <c r="C243" s="22" t="inlineStr">
        <is>
          <t>5,032 toneladas × 0.35 de rendimiento</t>
        </is>
      </c>
      <c r="D243" s="193" t="inlineStr">
        <is>
          <t>1,761 toneladas</t>
        </is>
      </c>
      <c r="E243" s="22" t="inlineStr">
        <is>
          <t>Alcanza para unas 350 hectáreas de papa. El 80 % de los suelos de Cundinamarca tiene déficit de materia orgánica.</t>
        </is>
      </c>
      <c r="F243" s="93" t="n"/>
      <c r="G243" s="1" t="n"/>
    </row>
    <row r="244" ht="44.309" customHeight="1">
      <c r="A244" s="1" t="n"/>
      <c r="B244" s="19" t="inlineStr">
        <is>
          <t>Lixiviado que no se genera</t>
        </is>
      </c>
      <c r="C244" s="20" t="inlineStr">
        <is>
          <t>Toneladas que no llegan al relleno</t>
        </is>
      </c>
      <c r="D244" s="192" t="inlineStr">
        <is>
          <t>5,032 toneladas menos</t>
        </is>
      </c>
      <c r="E244" s="20" t="inlineStr">
        <is>
          <t>El lixiviado de Doña Juana termina en el río Tunjuelo y su tratamiento cuesta $20,953 por tonelada enterrada, indefinidamente.</t>
        </is>
      </c>
      <c r="F244" s="93" t="n"/>
      <c r="G244" s="1" t="n"/>
    </row>
    <row r="245" ht="44.309" customHeight="1">
      <c r="A245" s="1" t="n"/>
      <c r="B245" s="21" t="inlineStr">
        <is>
          <t>Vida útil del relleno</t>
        </is>
      </c>
      <c r="C245" s="22" t="inlineStr">
        <is>
          <t>Toneladas que no ocupan celda</t>
        </is>
      </c>
      <c r="D245" s="193" t="inlineStr">
        <is>
          <t>5,032 toneladas menos</t>
        </is>
      </c>
      <c r="E245" s="22" t="inlineStr">
        <is>
          <t>La celda actual se está agotando y construir una nueva exige inversión, licencia y aceptación social de una comunidad que ya hizo plantones pidiendo el cierre.</t>
        </is>
      </c>
      <c r="F245" s="93" t="n"/>
      <c r="G245" s="1" t="n"/>
    </row>
    <row r="246" ht="44.309" customHeight="1">
      <c r="A246" s="1" t="n"/>
      <c r="B246" s="19" t="inlineStr">
        <is>
          <t>Empleo formal en la localidad</t>
        </is>
      </c>
      <c r="C246" s="20" t="inlineStr">
        <is>
          <t>Plantilla del programa, toda con contrato y prestaciones</t>
        </is>
      </c>
      <c r="D246" s="192" t="inlineStr">
        <is>
          <t>30 empleos directos</t>
        </is>
      </c>
      <c r="E246" s="20" t="inlineStr">
        <is>
          <t>En una localidad con 55.7 % de informalidad laboral y 17 % de desempleo.</t>
        </is>
      </c>
      <c r="F246" s="93" t="n"/>
      <c r="G246" s="1" t="n"/>
    </row>
    <row r="247" ht="44.309" customHeight="1">
      <c r="A247" s="1" t="n"/>
      <c r="B247" s="21" t="inlineStr">
        <is>
          <t>Cumplimiento de la meta del 20 %</t>
        </is>
      </c>
      <c r="C247" s="22" t="inlineStr">
        <is>
          <t>Toneladas tratadas contadas una por una, con soporte auditable</t>
        </is>
      </c>
      <c r="D247" s="193" t="inlineStr">
        <is>
          <t>5,032 toneladas verificables</t>
        </is>
      </c>
      <c r="E247" s="22" t="inlineStr">
        <is>
          <t>Bogotá se obligó por decreto a tratar el 20 % de sus residuos orgánicos y hoy trata el 0.03 %.</t>
        </is>
      </c>
      <c r="F247" s="93" t="n"/>
      <c r="G247" s="1" t="n"/>
    </row>
    <row r="248" ht="44.309" customHeight="1">
      <c r="A248" s="1" t="n"/>
      <c r="B248" s="19" t="inlineStr">
        <is>
          <t>Información que hoy no existe</t>
        </is>
      </c>
      <c r="C248" s="20" t="inlineStr">
        <is>
          <t>Registro de generación por hogar, por manzana y por día</t>
        </is>
      </c>
      <c r="D248" s="192" t="inlineStr">
        <is>
          <t>12,000 hogares medidos</t>
        </is>
      </c>
      <c r="E248" s="20" t="inlineStr">
        <is>
          <t>Ni la UAESP ni la Superintendencia publican toneladas por localidad. Sería el primer dato real de Usme.</t>
        </is>
      </c>
      <c r="F248" s="93" t="n"/>
      <c r="G248" s="1" t="n"/>
    </row>
    <row r="249" ht="44.309" customHeight="1">
      <c r="A249" s="1" t="n"/>
      <c r="B249" s="21" t="inlineStr">
        <is>
          <t>Cambio de conducta</t>
        </is>
      </c>
      <c r="C249" s="22" t="inlineStr">
        <is>
          <t>Familias que separan de forma sostenida y lo ven medido cada quincena</t>
        </is>
      </c>
      <c r="D249" s="193" t="inlineStr">
        <is>
          <t>12,000 hogares</t>
        </is>
      </c>
      <c r="E249" s="22" t="inlineStr">
        <is>
          <t>Es el mismo mecanismo que en Corea del Sur llevó el reciclaje al 97.5 % en una generación.</t>
        </is>
      </c>
      <c r="F249" s="93" t="n"/>
      <c r="G249" s="1" t="n"/>
    </row>
    <row r="250" ht="10" customHeight="1">
      <c r="A250" s="1" t="n"/>
      <c r="B250" s="1" t="n"/>
      <c r="C250" s="1" t="n"/>
      <c r="D250" s="1" t="n"/>
      <c r="E250" s="1" t="n"/>
      <c r="F250" s="1" t="n"/>
      <c r="G250" s="1" t="n"/>
    </row>
    <row r="251" ht="20" customHeight="1">
      <c r="A251" s="1" t="n"/>
      <c r="B251" s="25" t="inlineStr">
        <is>
          <t>La conclusión, sin adornos</t>
        </is>
      </c>
      <c r="C251" s="25" t="n"/>
      <c r="D251" s="25" t="n"/>
      <c r="E251" s="25" t="n"/>
      <c r="F251" s="25" t="n"/>
      <c r="G251" s="1" t="n"/>
    </row>
    <row r="252" ht="193.54" customHeight="1">
      <c r="A252" s="1" t="n"/>
      <c r="B252" s="70" t="inlineStr">
        <is>
          <t>LA RESPUESTA DIRECTA A «¿ESTE PROYECTO RENTA?»
No como negocio. Los ingresos propios cubren el 46.9 % de los costos de operación y el resto lo aportan tres fuentes públicas identificadas una por una. Presentarlo como rentable sería faltar a la verdad.
POR QUÉ NO RENTA
Porque recoger casa por casa cuesta por parada y no por tonelada. Un hogar entrega 169 kilos al año pero exige una visita cada quince días; un restaurante entrega 5,400 kilos al año en una sola dirección. Por eso la línea de hogares cubre el 35.4 % de sus costos y la de establecimientos el 60.8 %. Trabajar con las dos a la vez es lo que sube la cobertura del conjunto al 46.9 %; solo con hogares sería del 35.4 %.
ENTONCES, ¿POR QUÉ HACERLO?
Porque no es un negocio: es un servicio público, y como tal se juzga por lo que entrega frente al dinero público que consume, igual que el alumbrado, el barrido de calles o el mismo servicio de aseo que hoy se subsidia en un 70 % para el estrato 1. El costo adicional real para la ciudad es de $9,822 por hogar al mes, y a cambio se sacan 5,032 toneladas del relleno, se producen 1,761 toneladas de abono, se evitan 4,026 toneladas de CO₂, se crean 30 empleos formales y se empieza a cumplir una obligación legal que hoy se incumple casi por completo.</t>
        </is>
      </c>
      <c r="C252" s="70" t="n"/>
      <c r="D252" s="70" t="n"/>
      <c r="E252" s="70" t="n"/>
      <c r="F252" s="70" t="n"/>
      <c r="G252" s="1" t="n"/>
    </row>
    <row r="253" ht="16" customHeight="1">
      <c r="A253" s="1" t="n"/>
      <c r="B253" s="1" t="n"/>
      <c r="C253" s="1" t="n"/>
      <c r="D253" s="1" t="n"/>
      <c r="E253" s="1" t="n"/>
      <c r="F253" s="1" t="n"/>
      <c r="G253" s="1" t="n"/>
    </row>
    <row r="254" ht="26" customHeight="1">
      <c r="A254" s="1" t="n"/>
      <c r="B254" s="194" t="inlineStr">
        <is>
          <t>Notas generales</t>
        </is>
      </c>
      <c r="C254" s="194" t="n"/>
      <c r="D254" s="194" t="n"/>
      <c r="E254" s="194" t="n"/>
      <c r="F254" s="194" t="n"/>
      <c r="G254" s="1" t="n"/>
    </row>
    <row r="255" ht="20" customHeight="1">
      <c r="A255" s="1" t="n"/>
      <c r="B255" s="23" t="inlineStr">
        <is>
          <t>Nota 1 · De dónde sale el costo de la cadena actual</t>
        </is>
      </c>
      <c r="C255" s="23" t="n"/>
      <c r="D255" s="23" t="n"/>
      <c r="E255" s="23" t="n"/>
      <c r="F255" s="23" t="n"/>
      <c r="G255" s="1" t="n"/>
    </row>
    <row r="256" ht="232.87" customHeight="1">
      <c r="A256" s="1" t="n"/>
      <c r="B256" s="24" t="inlineStr">
        <is>
          <t>Hoy, cuando una tonelada de comida sale de una casa de Usme, la ciudad paga tres cosas por ella, todas publicadas en el pliego tarifario del Área de Servicio Exclusivo 1, que es la que incluye a Usme:
· Recolección y transporte hasta Doña Juana: $124,696.13 por tonelada.
· Disposición en la celda del relleno: $45,540.94 por tonelada.
· Tratamiento del líquido contaminado que esa masa suelta: $20,952.55 por tonelada.
En total, $191,190 por tonelada, y a cambio la ciudad no recibe nada: la tonelada queda enterrada, produce metano durante décadas y consume un espacio del relleno que es finito.
Esa cifra cumple dos funciones. Primero, fija el techo de la tarifa que el programa puede cobrar: se fijó en $150,000, por debajo, para que el contrato le represente un ahorro a la ciudad. Segundo, es el costo evitado que se resta en la sección 9.
El sustento legal para que el Distrito pague por tratamiento es el artículo 31 de la Resolución CRA 720 de 2015, que permite emplear alternativas al relleno y trasladar su costo a la tarifa, con tope en la suma de disposición final y lixiviados. A ese componente se suma el de recolección y transporte, que el programa presta de forma efectiva y que el operador ordinario deja de prestar sobre esas mismas toneladas.
https://www.promoambientaldistrito.com/Tarifas/202510_ASE01.pdf</t>
        </is>
      </c>
      <c r="C256" s="24" t="n"/>
      <c r="D256" s="24" t="n"/>
      <c r="E256" s="24" t="n"/>
      <c r="F256" s="24" t="n"/>
      <c r="G256" s="1" t="n"/>
    </row>
    <row r="257" ht="8" customHeight="1">
      <c r="A257" s="1" t="n"/>
      <c r="B257" s="1" t="n"/>
      <c r="C257" s="1" t="n"/>
      <c r="D257" s="1" t="n"/>
      <c r="E257" s="1" t="n"/>
      <c r="F257" s="1" t="n"/>
      <c r="G257" s="1" t="n"/>
    </row>
    <row r="258" ht="20" customHeight="1">
      <c r="A258" s="1" t="n"/>
      <c r="B258" s="25" t="inlineStr">
        <is>
          <t>Nota 2 · Quién genera más: los hogares o el comercio</t>
        </is>
      </c>
      <c r="C258" s="25" t="n"/>
      <c r="D258" s="25" t="n"/>
      <c r="E258" s="25" t="n"/>
      <c r="F258" s="25" t="n"/>
      <c r="G258" s="1" t="n"/>
    </row>
    <row r="259" ht="101.77" customHeight="1">
      <c r="A259" s="1" t="n"/>
      <c r="B259" s="70" t="inlineStr">
        <is>
          <t>Una pregunta legítima es si el problema está en las casas o en el comercio. La respuesta, con el dato oficial, es que está sobre todo en las casas: según la guía técnica de la UAESP y la Universidad Nacional, el 53.22 % de todo lo que Bogotá entierra es materia orgánica, y el 74 % de esa comida sale de los hogares. Los grandes generadores aportan cerca del 6 % del total.
Pero el comercio, aunque genera menos, es mucho más barato de atender, porque concentra en un solo punto lo que en el barrio está repartido en cientos de puertas. Por eso el proyecto trabaja con los dos: los hogares son donde está el problema y donde se cambia la cultura; los establecimientos son los que hacen que la operación se sostenga. Este es el inventario que sustenta las 10 toneladas diarias de la línea comercial.</t>
        </is>
      </c>
      <c r="C259" s="70" t="n"/>
      <c r="D259" s="70" t="n"/>
      <c r="E259" s="70" t="n"/>
      <c r="F259" s="70" t="n"/>
      <c r="G259" s="1" t="n"/>
    </row>
    <row r="260" ht="4" customHeight="1">
      <c r="A260" s="1" t="n"/>
      <c r="B260" s="1" t="n"/>
      <c r="C260" s="1" t="n"/>
      <c r="D260" s="1" t="n"/>
      <c r="E260" s="1" t="n"/>
      <c r="F260" s="1" t="n"/>
      <c r="G260" s="1" t="n"/>
    </row>
    <row r="261" ht="30" customHeight="1">
      <c r="A261" s="1" t="n"/>
      <c r="B261" s="18" t="inlineStr">
        <is>
          <t>Tipo de establecimiento</t>
        </is>
      </c>
      <c r="C261" s="18" t="inlineStr">
        <is>
          <t>Cuántos</t>
        </is>
      </c>
      <c r="D261" s="18" t="inlineStr">
        <is>
          <t>Kilos al día cada uno</t>
        </is>
      </c>
      <c r="E261" s="18" t="inlineStr">
        <is>
          <t>Total al día</t>
        </is>
      </c>
      <c r="F261" s="18" t="inlineStr">
        <is>
          <t>De dónde sale</t>
        </is>
      </c>
      <c r="G261" s="1" t="n"/>
    </row>
    <row r="262" ht="76.81799999999998" customHeight="1">
      <c r="A262" s="1" t="n"/>
      <c r="B262" s="19" t="inlineStr">
        <is>
          <t>Colegios distritales</t>
        </is>
      </c>
      <c r="C262" s="100" t="n">
        <v>50</v>
      </c>
      <c r="D262" s="100" t="n">
        <v>40</v>
      </c>
      <c r="E262" s="195">
        <f>C262*D262</f>
        <v/>
      </c>
      <c r="F262" s="47" t="inlineStr">
        <is>
          <t>Usme tiene una de las mayores redes de colegios oficiales de Bogotá y todos operan comedor escolar. Cuarenta kilos diarios corresponde a un comedor de unos 600 almuerzos.</t>
        </is>
      </c>
      <c r="G262" s="1" t="n"/>
    </row>
    <row r="263" ht="76.81799999999998" customHeight="1">
      <c r="A263" s="1" t="n"/>
      <c r="B263" s="21" t="inlineStr">
        <is>
          <t>Plaza de mercado</t>
        </is>
      </c>
      <c r="C263" s="196" t="n">
        <v>1</v>
      </c>
      <c r="D263" s="196" t="n">
        <v>800</v>
      </c>
      <c r="E263" s="197">
        <f>C263*D263</f>
        <v/>
      </c>
      <c r="F263" s="49" t="inlineStr">
        <is>
          <t>La plaza distrital de Usme. Como referencia, la ruta de plazas de mercado de Bogotá moviliza más de 71 toneladas al mes en el conjunto de las plazas de la ciudad.</t>
        </is>
      </c>
      <c r="G263" s="1" t="n"/>
    </row>
    <row r="264" ht="44.309" customHeight="1">
      <c r="A264" s="1" t="n"/>
      <c r="B264" s="19" t="inlineStr">
        <is>
          <t>Comedores comunitarios</t>
        </is>
      </c>
      <c r="C264" s="100" t="n">
        <v>15</v>
      </c>
      <c r="D264" s="100" t="n">
        <v>60</v>
      </c>
      <c r="E264" s="195">
        <f>C264*D264</f>
        <v/>
      </c>
      <c r="F264" s="47" t="inlineStr">
        <is>
          <t>Comedores de la Secretaria de Integracion Social y de organizaciones comunitarias.</t>
        </is>
      </c>
      <c r="G264" s="1" t="n"/>
    </row>
    <row r="265" ht="76.81799999999998" customHeight="1">
      <c r="A265" s="1" t="n"/>
      <c r="B265" s="21" t="inlineStr">
        <is>
          <t>Restaurantes y panaderias</t>
        </is>
      </c>
      <c r="C265" s="196" t="n">
        <v>250</v>
      </c>
      <c r="D265" s="196" t="n">
        <v>18</v>
      </c>
      <c r="E265" s="197">
        <f>C265*D265</f>
        <v/>
      </c>
      <c r="F265" s="49" t="inlineStr">
        <is>
          <t>Establecimientos formales de tamaño medio. El programa ReGenera del sector gastronomico gestiono 8,417 toneladas en dos años, lo que confirma que el sector responde cuando hay ruta.</t>
        </is>
      </c>
      <c r="G265" s="1" t="n"/>
    </row>
    <row r="266" ht="44.309" customHeight="1">
      <c r="A266" s="1" t="n"/>
      <c r="B266" s="19" t="inlineStr">
        <is>
          <t>Fruterias, carnicerias y supermercados de barrio</t>
        </is>
      </c>
      <c r="C266" s="100" t="n">
        <v>30</v>
      </c>
      <c r="D266" s="100" t="n">
        <v>60</v>
      </c>
      <c r="E266" s="195">
        <f>C266*D266</f>
        <v/>
      </c>
      <c r="F266" s="47" t="inlineStr">
        <is>
          <t>Son los de mayor generacion por metro cuadrado: el descarte de fruta y verdura es diario y voluminoso.</t>
        </is>
      </c>
      <c r="G266" s="1" t="n"/>
    </row>
    <row r="267" ht="27.19899999999999" customHeight="1">
      <c r="A267" s="1" t="n"/>
      <c r="B267" s="198" t="inlineStr">
        <is>
          <t>TOTAL DE KILOS AL DÍA DE LA LÍNEA COMERCIAL</t>
        </is>
      </c>
      <c r="C267" s="199" t="n"/>
      <c r="D267" s="199" t="n"/>
      <c r="E267" s="200">
        <f>SUM(E262:E266)</f>
        <v/>
      </c>
      <c r="F267" s="124" t="inlineStr">
        <is>
          <t>Por 300 días da las toneladas al año de la sección 2.</t>
        </is>
      </c>
      <c r="G267" s="1" t="n"/>
    </row>
    <row r="268" ht="8" customHeight="1">
      <c r="A268" s="1" t="n"/>
      <c r="B268" s="1" t="n"/>
      <c r="C268" s="1" t="n"/>
      <c r="D268" s="1" t="n"/>
      <c r="E268" s="1" t="n"/>
      <c r="F268" s="1" t="n"/>
      <c r="G268" s="1" t="n"/>
    </row>
    <row r="269" ht="20" customHeight="1">
      <c r="A269" s="1" t="n"/>
      <c r="B269" s="201" t="inlineStr">
        <is>
          <t>Nota 3 · Qué no incluye este costeo</t>
        </is>
      </c>
      <c r="C269" s="201" t="n"/>
      <c r="D269" s="201" t="n"/>
      <c r="E269" s="201" t="n"/>
      <c r="F269" s="201" t="n"/>
      <c r="G269" s="1" t="n"/>
    </row>
    <row r="270" ht="141.836" customHeight="1">
      <c r="A270" s="1" t="n"/>
      <c r="B270" s="202" t="inlineStr">
        <is>
          <t>Para que nadie tome estas cifras por más de lo que son:
· IMPUESTO DE RENTA. No se calcula, porque la figura jurídica del operador todavía no está definida y de ella depende si el proyecto es contribuyente. Los intereses del crédito sí están incluidos: son parte de la cuota anual de la sección 4.1 y se explican en la nota 4.
· INFLACIÓN. Todo está en pesos de 2026, a precios constantes.
· VALOR DE SALVAMENTO. No se cuenta lo que valdrían la planta, la flota y los equipos al final de los diez años, lo que hace el resultado más conservador.
· DEPRECIACIÓN CONTABLE. En lugar de depreciar, la operación incluye rubros de reposición de aparatos, que son el desembolso real de caja.
· COSTOS DE ESTRUCTURACIÓN. Trámites, licencia ambiental y estructuración del contrato con el Distrito no están costeados porque dependen de la figura que se escoja.</t>
        </is>
      </c>
      <c r="C270" s="202" t="n"/>
      <c r="D270" s="202" t="n"/>
      <c r="E270" s="202" t="n"/>
      <c r="F270" s="202" t="n"/>
      <c r="G270" s="1" t="n"/>
    </row>
    <row r="271" ht="8" customHeight="1">
      <c r="A271" s="1" t="n"/>
      <c r="B271" s="1" t="n"/>
      <c r="C271" s="1" t="n"/>
      <c r="D271" s="1" t="n"/>
      <c r="E271" s="1" t="n"/>
      <c r="F271" s="1" t="n"/>
      <c r="G271" s="1" t="n"/>
    </row>
    <row r="272" ht="20" customHeight="1">
      <c r="A272" s="1" t="n"/>
      <c r="B272" s="16" t="inlineStr">
        <is>
          <t>Nota 4 · El crédito de Bancóldex y su cuota</t>
        </is>
      </c>
      <c r="C272" s="16" t="n"/>
      <c r="D272" s="16" t="n"/>
      <c r="E272" s="16" t="n"/>
      <c r="F272" s="16" t="n"/>
      <c r="G272" s="1" t="n"/>
    </row>
    <row r="273" ht="324.64" customHeight="1">
      <c r="A273" s="1" t="n"/>
      <c r="B273" s="203" t="inlineStr">
        <is>
          <t>De las seis fuentes que financian el montaje, cinco son aportes o convocatorias que no se devuelven. La sexta sí: el crédito de la línea sostenible de Bancóldex, por $1,400,000,000 a diez años. Como hay que devolverlo, su cuota es un costo de operación igual que los sueldos o el combustible, y por eso aparece en la sección 4.1 dentro de los costos comunes.
CÓMO SE CALCULA LA CUOTA
· Monto del crédito: $1,400,000,000.
· Plazo: 10 años.
· Tasa: Bancóldex redescuenta esta línea a la DTF más 1.00 punto, y el banco que desembolsa agrega su propio margen, que es negociable. Con una DTF de referencia de 9.5 % y un margen de 4.5 puntos, la tasa al proyecto queda en 15.0 % efectivo anual.
· Cuota anual fija, que amortiza capital e intereses: $278,952,888.
LO QUE ESO SIGNIFICA
En diez años se devuelven $2,789,528,880, de los cuales $1,389,528,880 son intereses. Es decir que por cada peso prestado se devuelven casi dos. El crédito es, con diferencia, la fuente más cara de las seis, y conviene decirlo con todas las letras.
DE DÓNDE SALE EL DINERO PARA PAGARLA
De las mismas fuentes que ya financian la operación, y de ninguna nueva: al sumar la cuota, el costo anual pasó de $2,540,229,853 a $2,819,182,741, y ese aumento se cubrió elevando la asignación del Incentivo al Aprovechamiento y Tratamiento de $700 a $900 millones y el aporte del Fondo de Desarrollo Local de $350 a $450 millones. No se toma otro crédito para pagar este.
LA ALTERNATIVA QUE CONVIENE INTENTAR PRIMERO
Si la flota y la plataforma se consiguen con un aporte no reembolsable en lugar de con crédito, el proyecto se ahorra $278,952,888 todos los años, es decir el 9.9 % de su costo de operación. Por eso el orden recomendado para buscar financiación es: primero agotar las convocatorias y el patrocinio empresarial, y solo tomar el crédito por lo que no se logre cubrir.</t>
        </is>
      </c>
      <c r="C273" s="203" t="n"/>
      <c r="D273" s="203" t="n"/>
      <c r="E273" s="203" t="n"/>
      <c r="F273" s="203" t="n"/>
      <c r="G273" s="1" t="n"/>
    </row>
    <row r="274" ht="8" customHeight="1">
      <c r="A274" s="1" t="n"/>
      <c r="B274" s="1" t="n"/>
      <c r="C274" s="1" t="n"/>
      <c r="D274" s="1" t="n"/>
      <c r="E274" s="1" t="n"/>
      <c r="F274" s="1" t="n"/>
      <c r="G274" s="1" t="n"/>
    </row>
    <row r="275" ht="20" customHeight="1">
      <c r="A275" s="1" t="n"/>
      <c r="B275" s="29" t="inlineStr">
        <is>
          <t>Nota 5 · Qué podría mejorar el resultado</t>
        </is>
      </c>
      <c r="C275" s="29" t="n"/>
      <c r="D275" s="29" t="n"/>
      <c r="E275" s="29" t="n"/>
      <c r="F275" s="29" t="n"/>
      <c r="G275" s="1" t="n"/>
    </row>
    <row r="276" ht="180.43" customHeight="1">
      <c r="A276" s="1" t="n"/>
      <c r="B276" s="180" t="inlineStr">
        <is>
          <t>El resultado corresponde al proyecto tal como está formulado. Hay cuatro palancas que reducirían el aporte público necesario, todas verificables antes de comprometer la inversión:
· QUE EL DISTRITO APORTE EL LOTE. Usme tiene 18,500 hectáreas rurales. Si el predio se aporta en especie, el costo de operación baja $105 millones al año, un 4.1 %.
· CRECER LA LÍNEA COMERCIAL. Es la palanca de mayor efecto, porque esa línea ya cubre el 70 % de sus costos: cada tonelada comercial adicional deja margen. Duplicar los establecimientos de 346 a 700 subiría la cobertura del conjunto del 46.9 % a cerca del 58 %, sin aparatos domiciliarios nuevos y usando la misma planta.
· FABRICAR LOS CONSUMIBLES EN COLOMBIA A MAYOR ESCALA. Las bolsas, el carbón y el material seco pesan $208 millones al año. Producirlos en el país a escala reduce ese rubro cerca de un 20 %.
· VENDER MÁS HUMUS Y MENOS GRANEL. Subir la participación del humus de lombriz del 30 % al 45 % elevaría el precio promedio del abono de $338,500 a $370,000 y el ingreso por abono en un 9 %.
Las cuatro juntas, sumadas a sustituir el crédito por un aporte no reembolsable, llevarían la cobertura por encima del 65 %. Ninguna cambia la conclusión de fondo: el componente domiciliario, que es el corazón del proyecto, requiere financiación pública, como cualquier otro servicio público esencial.</t>
        </is>
      </c>
      <c r="C276" s="180" t="n"/>
      <c r="D276" s="180" t="n"/>
      <c r="E276" s="180" t="n"/>
      <c r="F276" s="180" t="n"/>
      <c r="G276" s="1" t="n"/>
    </row>
    <row r="277">
      <c r="A277" s="1" t="n"/>
      <c r="B277" s="1" t="n"/>
      <c r="C277" s="1" t="n"/>
      <c r="D277" s="1" t="n"/>
      <c r="E277" s="1" t="n"/>
      <c r="F277" s="1" t="n"/>
      <c r="G277" s="1" t="n"/>
    </row>
    <row r="278">
      <c r="A278" s="1" t="n"/>
      <c r="B278" s="1" t="n"/>
      <c r="C278" s="1" t="n"/>
      <c r="D278" s="1" t="n"/>
      <c r="E278" s="1" t="n"/>
      <c r="F278" s="1" t="n"/>
      <c r="G278" s="1" t="n"/>
    </row>
    <row r="279">
      <c r="A279" s="1" t="n"/>
      <c r="B279" s="1" t="n"/>
      <c r="C279" s="1" t="n"/>
      <c r="D279" s="1" t="n"/>
      <c r="E279" s="1" t="n"/>
      <c r="F279" s="1" t="n"/>
      <c r="G279" s="1" t="n"/>
    </row>
  </sheetData>
  <mergeCells count="253">
    <mergeCell ref="E145:F145"/>
    <mergeCell ref="B7:F7"/>
    <mergeCell ref="E210:F210"/>
    <mergeCell ref="B252:F252"/>
    <mergeCell ref="E71:F71"/>
    <mergeCell ref="B3:F3"/>
    <mergeCell ref="E111:F111"/>
    <mergeCell ref="E129:F129"/>
    <mergeCell ref="E23:F23"/>
    <mergeCell ref="E194:F194"/>
    <mergeCell ref="B149:C149"/>
    <mergeCell ref="E234:F234"/>
    <mergeCell ref="B276:F276"/>
    <mergeCell ref="E64:F64"/>
    <mergeCell ref="E79:F79"/>
    <mergeCell ref="E131:F131"/>
    <mergeCell ref="E244:F244"/>
    <mergeCell ref="E51:F51"/>
    <mergeCell ref="E87:F87"/>
    <mergeCell ref="E171:F171"/>
    <mergeCell ref="E153:F153"/>
    <mergeCell ref="B2:F2"/>
    <mergeCell ref="E236:F236"/>
    <mergeCell ref="E128:F128"/>
    <mergeCell ref="B231:F231"/>
    <mergeCell ref="B101:C101"/>
    <mergeCell ref="E220:F220"/>
    <mergeCell ref="E173:F173"/>
    <mergeCell ref="B157:F157"/>
    <mergeCell ref="E65:F65"/>
    <mergeCell ref="E34:F34"/>
    <mergeCell ref="E148:F148"/>
    <mergeCell ref="E105:F105"/>
    <mergeCell ref="E99:F99"/>
    <mergeCell ref="E222:F222"/>
    <mergeCell ref="B28:F28"/>
    <mergeCell ref="E49:F49"/>
    <mergeCell ref="B270:F270"/>
    <mergeCell ref="B230:F230"/>
    <mergeCell ref="E36:F36"/>
    <mergeCell ref="B168:F168"/>
    <mergeCell ref="E119:F119"/>
    <mergeCell ref="E101:F101"/>
    <mergeCell ref="E116:F116"/>
    <mergeCell ref="B143:F143"/>
    <mergeCell ref="E113:F113"/>
    <mergeCell ref="E91:F91"/>
    <mergeCell ref="E196:F196"/>
    <mergeCell ref="E85:F85"/>
    <mergeCell ref="E100:F100"/>
    <mergeCell ref="B133:F133"/>
    <mergeCell ref="B51:C51"/>
    <mergeCell ref="B256:F256"/>
    <mergeCell ref="E246:F246"/>
    <mergeCell ref="E22:F22"/>
    <mergeCell ref="E53:F53"/>
    <mergeCell ref="E93:F93"/>
    <mergeCell ref="E115:F115"/>
    <mergeCell ref="E146:F146"/>
    <mergeCell ref="B154:C154"/>
    <mergeCell ref="E102:F102"/>
    <mergeCell ref="E193:F193"/>
    <mergeCell ref="E198:F198"/>
    <mergeCell ref="E233:F233"/>
    <mergeCell ref="E12:F12"/>
    <mergeCell ref="B144:F144"/>
    <mergeCell ref="B200:C200"/>
    <mergeCell ref="B138:C138"/>
    <mergeCell ref="B227:F227"/>
    <mergeCell ref="E117:F117"/>
    <mergeCell ref="E248:F248"/>
    <mergeCell ref="E55:F55"/>
    <mergeCell ref="E175:F175"/>
    <mergeCell ref="E235:F235"/>
    <mergeCell ref="B134:F134"/>
    <mergeCell ref="E67:F67"/>
    <mergeCell ref="E247:F247"/>
    <mergeCell ref="B131:C131"/>
    <mergeCell ref="E14:F14"/>
    <mergeCell ref="E127:F127"/>
    <mergeCell ref="E48:F48"/>
    <mergeCell ref="B267:D267"/>
    <mergeCell ref="B167:F167"/>
    <mergeCell ref="E200:F200"/>
    <mergeCell ref="B219:F219"/>
    <mergeCell ref="B130:C130"/>
    <mergeCell ref="E209:F209"/>
    <mergeCell ref="E147:F147"/>
    <mergeCell ref="B228:F228"/>
    <mergeCell ref="E170:F170"/>
    <mergeCell ref="B8:F8"/>
    <mergeCell ref="E211:F211"/>
    <mergeCell ref="E201:F201"/>
    <mergeCell ref="E90:F90"/>
    <mergeCell ref="E104:F104"/>
    <mergeCell ref="B269:F269"/>
    <mergeCell ref="E26:F26"/>
    <mergeCell ref="E110:F110"/>
    <mergeCell ref="E154:F154"/>
    <mergeCell ref="E197:F197"/>
    <mergeCell ref="B74:F74"/>
    <mergeCell ref="E237:F237"/>
    <mergeCell ref="B254:F254"/>
    <mergeCell ref="E120:F120"/>
    <mergeCell ref="E172:F172"/>
    <mergeCell ref="E16:F16"/>
    <mergeCell ref="E25:F25"/>
    <mergeCell ref="B213:C213"/>
    <mergeCell ref="B95:C95"/>
    <mergeCell ref="B124:F124"/>
    <mergeCell ref="E174:F174"/>
    <mergeCell ref="B5:F5"/>
    <mergeCell ref="B89:C89"/>
    <mergeCell ref="B76:F76"/>
    <mergeCell ref="B189:F189"/>
    <mergeCell ref="B204:F204"/>
    <mergeCell ref="B207:F207"/>
    <mergeCell ref="E66:F66"/>
    <mergeCell ref="B216:F216"/>
    <mergeCell ref="B251:F251"/>
    <mergeCell ref="E58:F58"/>
    <mergeCell ref="E18:F18"/>
    <mergeCell ref="E223:F223"/>
    <mergeCell ref="E238:F238"/>
    <mergeCell ref="B4:F4"/>
    <mergeCell ref="E50:F50"/>
    <mergeCell ref="B75:F75"/>
    <mergeCell ref="E121:F121"/>
    <mergeCell ref="B153:C153"/>
    <mergeCell ref="E130:F130"/>
    <mergeCell ref="B62:F62"/>
    <mergeCell ref="E68:F68"/>
    <mergeCell ref="B72:C72"/>
    <mergeCell ref="E213:F213"/>
    <mergeCell ref="B141:F141"/>
    <mergeCell ref="E151:F151"/>
    <mergeCell ref="B218:F218"/>
    <mergeCell ref="B121:C121"/>
    <mergeCell ref="B190:F190"/>
    <mergeCell ref="E52:F52"/>
    <mergeCell ref="E83:F83"/>
    <mergeCell ref="B215:F215"/>
    <mergeCell ref="B56:C56"/>
    <mergeCell ref="B71:C71"/>
    <mergeCell ref="E92:F92"/>
    <mergeCell ref="E150:F150"/>
    <mergeCell ref="B105:C105"/>
    <mergeCell ref="B273:F273"/>
    <mergeCell ref="E44:F44"/>
    <mergeCell ref="E224:F224"/>
    <mergeCell ref="E107:F107"/>
    <mergeCell ref="E20:F20"/>
    <mergeCell ref="B39:F39"/>
    <mergeCell ref="B272:F272"/>
    <mergeCell ref="B120:C120"/>
    <mergeCell ref="B259:F259"/>
    <mergeCell ref="E94:F94"/>
    <mergeCell ref="E103:F103"/>
    <mergeCell ref="E152:F152"/>
    <mergeCell ref="B60:C60"/>
    <mergeCell ref="E13:F13"/>
    <mergeCell ref="E69:F69"/>
    <mergeCell ref="E84:F84"/>
    <mergeCell ref="E78:F78"/>
    <mergeCell ref="E249:F249"/>
    <mergeCell ref="E118:F118"/>
    <mergeCell ref="E31:F31"/>
    <mergeCell ref="E149:F149"/>
    <mergeCell ref="B162:C162"/>
    <mergeCell ref="E114:F114"/>
    <mergeCell ref="E59:F59"/>
    <mergeCell ref="B191:F191"/>
    <mergeCell ref="E241:F241"/>
    <mergeCell ref="E77:F77"/>
    <mergeCell ref="B258:F258"/>
    <mergeCell ref="E15:F15"/>
    <mergeCell ref="E46:F46"/>
    <mergeCell ref="E86:F86"/>
    <mergeCell ref="E108:F108"/>
    <mergeCell ref="B178:F178"/>
    <mergeCell ref="E80:F80"/>
    <mergeCell ref="E95:F95"/>
    <mergeCell ref="E89:F89"/>
    <mergeCell ref="B255:F255"/>
    <mergeCell ref="B108:C108"/>
    <mergeCell ref="E70:F70"/>
    <mergeCell ref="B83:C83"/>
    <mergeCell ref="E57:F57"/>
    <mergeCell ref="E54:F54"/>
    <mergeCell ref="E32:F32"/>
    <mergeCell ref="E125:F125"/>
    <mergeCell ref="E72:F72"/>
    <mergeCell ref="B164:F164"/>
    <mergeCell ref="E41:F41"/>
    <mergeCell ref="E212:F212"/>
    <mergeCell ref="E81:F81"/>
    <mergeCell ref="E112:F112"/>
    <mergeCell ref="E243:F243"/>
    <mergeCell ref="B198:C198"/>
    <mergeCell ref="B63:F63"/>
    <mergeCell ref="B94:C94"/>
    <mergeCell ref="B123:F123"/>
    <mergeCell ref="B206:F206"/>
    <mergeCell ref="E56:F56"/>
    <mergeCell ref="E96:F96"/>
    <mergeCell ref="B203:F203"/>
    <mergeCell ref="E43:F43"/>
    <mergeCell ref="B109:C109"/>
    <mergeCell ref="B135:C135"/>
    <mergeCell ref="E24:F24"/>
    <mergeCell ref="B59:C59"/>
    <mergeCell ref="E106:F106"/>
    <mergeCell ref="B156:F156"/>
    <mergeCell ref="E33:F33"/>
    <mergeCell ref="E98:F98"/>
    <mergeCell ref="B165:F165"/>
    <mergeCell ref="E195:F195"/>
    <mergeCell ref="E42:F42"/>
    <mergeCell ref="B140:F140"/>
    <mergeCell ref="E17:F17"/>
    <mergeCell ref="E88:F88"/>
    <mergeCell ref="E126:F126"/>
    <mergeCell ref="E82:F82"/>
    <mergeCell ref="E35:F35"/>
    <mergeCell ref="E10:F10"/>
    <mergeCell ref="B136:C136"/>
    <mergeCell ref="E19:F19"/>
    <mergeCell ref="E221:F221"/>
    <mergeCell ref="B240:F240"/>
    <mergeCell ref="E60:F60"/>
    <mergeCell ref="E9:F9"/>
    <mergeCell ref="E245:F245"/>
    <mergeCell ref="B29:F29"/>
    <mergeCell ref="E30:F30"/>
    <mergeCell ref="E232:F232"/>
    <mergeCell ref="B38:F38"/>
    <mergeCell ref="E11:F11"/>
    <mergeCell ref="E45:F45"/>
    <mergeCell ref="B137:C137"/>
    <mergeCell ref="E169:F169"/>
    <mergeCell ref="E225:F225"/>
    <mergeCell ref="B40:F40"/>
    <mergeCell ref="B201:C201"/>
    <mergeCell ref="E192:F192"/>
    <mergeCell ref="B177:F177"/>
    <mergeCell ref="B275:F275"/>
    <mergeCell ref="E199:F199"/>
    <mergeCell ref="E208:F208"/>
    <mergeCell ref="E97:F97"/>
    <mergeCell ref="E242:F242"/>
    <mergeCell ref="E109:F109"/>
    <mergeCell ref="E47:F47"/>
    <mergeCell ref="E21:F21"/>
  </mergeCells>
  <printOptions horizontalCentered="1"/>
  <pageMargins left="0.4" right="0.4" top="0.5" bottom="0.5" header="0.5" footer="0.5"/>
  <pageSetup orientation="landscape" paperSize="9" fitToHeight="0" fitToWidth="1"/>
  <ignoredErrors>
    <ignoredError sqref="A1:G279" numberStoredAsText="1"/>
  </ignoredErrors>
</worksheet>
</file>

<file path=xl/worksheets/sheet6.xml><?xml version="1.0" encoding="utf-8"?>
<worksheet xmlns="http://schemas.openxmlformats.org/spreadsheetml/2006/main">
  <sheetPr>
    <tabColor rgb="002B4459"/>
    <outlinePr summaryBelow="1" summaryRight="1"/>
    <pageSetUpPr fitToPage="1"/>
  </sheetPr>
  <dimension ref="A1:G163"/>
  <sheetViews>
    <sheetView showGridLines="0" zoomScale="85" workbookViewId="0">
      <pane xSplit="1" ySplit="3" topLeftCell="B4" activePane="bottomRight" state="frozen"/>
      <selection pane="topRight"/>
      <selection pane="bottomLeft"/>
      <selection pane="bottomRight" activeCell="A1" sqref="A1"/>
    </sheetView>
  </sheetViews>
  <sheetFormatPr baseColWidth="8" defaultRowHeight="15"/>
  <cols>
    <col width="2.43" customWidth="1" min="1" max="1"/>
    <col width="44.43" customWidth="1" min="2" max="2"/>
    <col width="63.43" customWidth="1" min="3" max="3"/>
    <col width="48.71" customWidth="1" min="4" max="4"/>
    <col width="48.71" customWidth="1" min="5" max="5"/>
    <col width="48.71" customWidth="1" min="6" max="6"/>
    <col width="2.43" customWidth="1" min="7" max="7"/>
  </cols>
  <sheetData>
    <row r="1">
      <c r="A1" s="1" t="n"/>
      <c r="B1" s="1" t="n"/>
      <c r="C1" s="1" t="n"/>
      <c r="D1" s="1" t="n"/>
      <c r="E1" s="1" t="n"/>
      <c r="F1" s="1" t="n"/>
      <c r="G1" s="1" t="n"/>
    </row>
    <row r="2" ht="46" customHeight="1">
      <c r="A2" s="1" t="n"/>
      <c r="B2" s="2" t="inlineStr">
        <is>
          <t>DETALLE DEL APARATO</t>
        </is>
      </c>
      <c r="C2" s="2" t="n"/>
      <c r="D2" s="2" t="n"/>
      <c r="E2" s="2" t="n"/>
      <c r="F2" s="2" t="n"/>
      <c r="G2" s="1" t="n"/>
    </row>
    <row r="3" ht="24" customHeight="1">
      <c r="A3" s="1" t="n"/>
      <c r="B3" s="3" t="inlineStr">
        <is>
          <t>Los dos modelos del equipo: primero qué son y cómo funcionan, y al final cuánto cuesta cada uno</t>
        </is>
      </c>
      <c r="C3" s="3" t="n"/>
      <c r="D3" s="3" t="n"/>
      <c r="E3" s="3" t="n"/>
      <c r="F3" s="3" t="n"/>
      <c r="G3" s="1" t="n"/>
    </row>
    <row r="4" ht="20" customHeight="1">
      <c r="A4" s="1" t="n"/>
      <c r="B4" s="23" t="inlineStr">
        <is>
          <t>Léase esto primero</t>
        </is>
      </c>
      <c r="C4" s="23" t="n"/>
      <c r="D4" s="23" t="n"/>
      <c r="E4" s="23" t="n"/>
      <c r="F4" s="23" t="n"/>
      <c r="G4" s="1" t="n"/>
    </row>
    <row r="5" ht="193.54" customHeight="1">
      <c r="A5" s="1" t="n"/>
      <c r="B5" s="24" t="inlineStr">
        <is>
          <t>POR QUÉ SON DOS MODELOS Y NO UNO
El proyecto atiende dos clientes muy distintos y no se puede servir a los dos con el mismo aparato. Un hogar de Usme entrega 460 gramos al día y el equipo tiene que caber bajo un mesón de cocina, verse como un electrodoméstico y costar lo menos posible, porque hay que fabricar doce mil. Un restaurante o un colegio entrega entre 18 y 800 kilos al día, tiene cocina industrial, personal que rota y exigencias sanitarias, y necesita un equipo de acero que aguante varias horas diarias de trabajo. Forzar un solo diseño significaría o un aparato doméstico que se rompe en la primera semana de un restaurante, o un aparato industrial imposible de pagar y de meter en una cocina de barrio.
QUÉ COMPARTEN
El principio es el mismo en los dos: el residuo se muele al cerrar la tapa, sale por el borde de la cámara y no por el fondo, se pesa, y el equipo avisa por radio propia cuándo está lleno sin usar el internet de nadie. Comparten la misma red de antenas del barrio, la misma plataforma y la misma ruta. Por eso atender a los dos no duplica la infraestructura.
EN QUÉ ORDEN ESTÁ ESTA HOJA
Las cuatro primeras secciones explican qué es el aparato y cómo funciona, sin hablar de dinero. Las tres últimas hablan solo de dinero: cuánto cuesta cada modelo y en cuánto se vendería. Están separadas a propósito para que no se mezclen las dos lecturas.</t>
        </is>
      </c>
      <c r="C5" s="24" t="n"/>
      <c r="D5" s="24" t="n"/>
      <c r="E5" s="24" t="n"/>
      <c r="F5" s="24" t="n"/>
      <c r="G5" s="1" t="n"/>
    </row>
    <row r="6" ht="14" customHeight="1">
      <c r="A6" s="1" t="n"/>
      <c r="B6" s="1" t="n"/>
      <c r="C6" s="1" t="n"/>
      <c r="D6" s="1" t="n"/>
      <c r="E6" s="1" t="n"/>
      <c r="F6" s="1" t="n"/>
      <c r="G6" s="1" t="n"/>
    </row>
    <row r="7" ht="26" customHeight="1">
      <c r="A7" s="1" t="n"/>
      <c r="B7" s="84" t="inlineStr">
        <is>
          <t>1.   Los dos modelos, lado a lado</t>
        </is>
      </c>
      <c r="C7" s="84" t="n"/>
      <c r="D7" s="84" t="n"/>
      <c r="E7" s="84" t="n"/>
      <c r="F7" s="84" t="n"/>
      <c r="G7" s="1" t="n"/>
    </row>
    <row r="8" ht="28.91" customHeight="1">
      <c r="A8" s="1" t="n"/>
      <c r="B8" s="15" t="inlineStr">
        <is>
          <t>Las características de cada uno, una al lado de la otra. Aquí no hay cifras de dinero: los costos están en las secciones 6, 7 y 8.</t>
        </is>
      </c>
      <c r="C8" s="15" t="n"/>
      <c r="D8" s="15" t="n"/>
      <c r="E8" s="15" t="n"/>
      <c r="F8" s="15" t="n"/>
      <c r="G8" s="1" t="n"/>
    </row>
    <row r="9" ht="30" customHeight="1">
      <c r="A9" s="1" t="n"/>
      <c r="B9" s="90" t="inlineStr">
        <is>
          <t>Característica</t>
        </is>
      </c>
      <c r="C9" s="90" t="inlineStr">
        <is>
          <t>MODELO HOGAR</t>
        </is>
      </c>
      <c r="D9" s="91" t="n"/>
      <c r="E9" s="90" t="inlineStr">
        <is>
          <t>MODELO ESTABLECIMIENTO</t>
        </is>
      </c>
      <c r="F9" s="91" t="n"/>
      <c r="G9" s="1" t="n"/>
    </row>
    <row r="10" ht="28.0545" customHeight="1">
      <c r="A10" s="1" t="n"/>
      <c r="B10" s="19" t="inlineStr">
        <is>
          <t>Para quién es</t>
        </is>
      </c>
      <c r="C10" s="20" t="inlineStr">
        <is>
          <t>Un hogar de dos a cuatro personas</t>
        </is>
      </c>
      <c r="D10" s="93" t="n"/>
      <c r="E10" s="20" t="inlineStr">
        <is>
          <t>Colegios, la plaza de mercado, comedores, restaurantes y tiendas de alimentos</t>
        </is>
      </c>
      <c r="F10" s="93" t="n"/>
      <c r="G10" s="1" t="n"/>
    </row>
    <row r="11" ht="28.0545" customHeight="1">
      <c r="A11" s="1" t="n"/>
      <c r="B11" s="21" t="inlineStr">
        <is>
          <t>Cuánto procesa al día</t>
        </is>
      </c>
      <c r="C11" s="22" t="inlineStr">
        <is>
          <t>0.46 kilos</t>
        </is>
      </c>
      <c r="D11" s="93" t="n"/>
      <c r="E11" s="22" t="inlineStr">
        <is>
          <t>De 18 a 800 kilos según el establecimiento</t>
        </is>
      </c>
      <c r="F11" s="93" t="n"/>
      <c r="G11" s="1" t="n"/>
    </row>
    <row r="12" ht="28.0545" customHeight="1">
      <c r="A12" s="1" t="n"/>
      <c r="B12" s="19" t="inlineStr">
        <is>
          <t>Cuántos se fabrican</t>
        </is>
      </c>
      <c r="C12" s="20" t="inlineStr">
        <is>
          <t>12,000 unidades</t>
        </is>
      </c>
      <c r="D12" s="93" t="n"/>
      <c r="E12" s="20" t="inlineStr">
        <is>
          <t>346 unidades</t>
        </is>
      </c>
      <c r="F12" s="93" t="n"/>
      <c r="G12" s="1" t="n"/>
    </row>
    <row r="13" ht="28.0545" customHeight="1">
      <c r="A13" s="1" t="n"/>
      <c r="B13" s="21" t="inlineStr">
        <is>
          <t>Medidas exteriores</t>
        </is>
      </c>
      <c r="C13" s="22" t="inlineStr">
        <is>
          <t>38 × 40 × 68 centímetros. Cabe bajo un mesón de cocina.</t>
        </is>
      </c>
      <c r="D13" s="93" t="n"/>
      <c r="E13" s="22" t="inlineStr">
        <is>
          <t>70 × 80 × 140 centímetros. Va de pie, sobre ruedas con freno.</t>
        </is>
      </c>
      <c r="F13" s="93" t="n"/>
      <c r="G13" s="1" t="n"/>
    </row>
    <row r="14" ht="28.0545" customHeight="1">
      <c r="A14" s="1" t="n"/>
      <c r="B14" s="19" t="inlineStr">
        <is>
          <t>Material del cuerpo</t>
        </is>
      </c>
      <c r="C14" s="20" t="inlineStr">
        <is>
          <t>Polipropileno rotomoldeado, con molde propio del proyecto</t>
        </is>
      </c>
      <c r="D14" s="93" t="n"/>
      <c r="E14" s="20" t="inlineStr">
        <is>
          <t>Acero inoxidable 304 calibre 18, doblado y soldado</t>
        </is>
      </c>
      <c r="F14" s="93" t="n"/>
      <c r="G14" s="1" t="n"/>
    </row>
    <row r="15" ht="44.309" customHeight="1">
      <c r="A15" s="1" t="n"/>
      <c r="B15" s="21" t="inlineStr">
        <is>
          <t>Por qué ese material</t>
        </is>
      </c>
      <c r="C15" s="22" t="inlineStr">
        <is>
          <t>A doce mil unidades el molde se amortiza y sale más barato que el metal. Además permite una pieza de una sola sección, sin uniones ni tornillos a la vista.</t>
        </is>
      </c>
      <c r="D15" s="93" t="n"/>
      <c r="E15" s="22" t="inlineStr">
        <is>
          <t>A 346 unidades el molde no se amortiza, y una cocina industrial exige superficie lavable y resistente al golpe.</t>
        </is>
      </c>
      <c r="F15" s="93" t="n"/>
      <c r="G15" s="1" t="n"/>
    </row>
    <row r="16" ht="28.0545" customHeight="1">
      <c r="A16" s="1" t="n"/>
      <c r="B16" s="19" t="inlineStr">
        <is>
          <t>Motor</t>
        </is>
      </c>
      <c r="C16" s="20" t="inlineStr">
        <is>
          <t>24 voltios, 90 vueltas por minuto</t>
        </is>
      </c>
      <c r="D16" s="93" t="n"/>
      <c r="E16" s="20" t="inlineStr">
        <is>
          <t>1.1 kilovatios a 220 voltios, 60 vueltas por minuto</t>
        </is>
      </c>
      <c r="F16" s="93" t="n"/>
      <c r="G16" s="1" t="n"/>
    </row>
    <row r="17" ht="28.0545" customHeight="1">
      <c r="A17" s="1" t="n"/>
      <c r="B17" s="21" t="inlineStr">
        <is>
          <t>Cámara de molido</t>
        </is>
      </c>
      <c r="C17" s="22" t="inlineStr">
        <is>
          <t>24 centímetros de diámetro, 3.6 litros</t>
        </is>
      </c>
      <c r="D17" s="93" t="n"/>
      <c r="E17" s="22" t="inlineStr">
        <is>
          <t>35 centímetros de diámetro, 12 litros</t>
        </is>
      </c>
      <c r="F17" s="93" t="n"/>
      <c r="G17" s="1" t="n"/>
    </row>
    <row r="18" ht="28.0545" customHeight="1">
      <c r="A18" s="1" t="n"/>
      <c r="B18" s="19" t="inlineStr">
        <is>
          <t>Dónde cae el material</t>
        </is>
      </c>
      <c r="C18" s="20" t="inlineStr">
        <is>
          <t>Cajón extraíble de 20 litros, con la bolsa compostable ya puesta</t>
        </is>
      </c>
      <c r="D18" s="93" t="n"/>
      <c r="E18" s="20" t="inlineStr">
        <is>
          <t>Contenedor rodante de 240 litros, normalizado, sin bolsa</t>
        </is>
      </c>
      <c r="F18" s="93" t="n"/>
      <c r="G18" s="1" t="n"/>
    </row>
    <row r="19" ht="28.0545" customHeight="1">
      <c r="A19" s="1" t="n"/>
      <c r="B19" s="21" t="inlineStr">
        <is>
          <t>Consumible recurrente</t>
        </is>
      </c>
      <c r="C19" s="22" t="inlineStr">
        <is>
          <t>26 bolsas al año, que entrega el programa</t>
        </is>
      </c>
      <c r="D19" s="93" t="n"/>
      <c r="E19" s="22" t="inlineStr">
        <is>
          <t>Ninguno: el contenedor se intercambia y se lava en la planta</t>
        </is>
      </c>
      <c r="F19" s="93" t="n"/>
      <c r="G19" s="1" t="n"/>
    </row>
    <row r="20" ht="28.0545" customHeight="1">
      <c r="A20" s="1" t="n"/>
      <c r="B20" s="19" t="inlineStr">
        <is>
          <t>Báscula</t>
        </is>
      </c>
      <c r="C20" s="20" t="inlineStr">
        <is>
          <t>Cuatro celdas de 5 kilos, alcance de 20 kilos</t>
        </is>
      </c>
      <c r="D20" s="93" t="n"/>
      <c r="E20" s="20" t="inlineStr">
        <is>
          <t>Cuatro celdas de 75 kilos, alcance de 300 kilos</t>
        </is>
      </c>
      <c r="F20" s="93" t="n"/>
      <c r="G20" s="1" t="n"/>
    </row>
    <row r="21" ht="28.0545" customHeight="1">
      <c r="A21" s="1" t="n"/>
      <c r="B21" s="21" t="inlineStr">
        <is>
          <t>Antena de radio</t>
        </is>
      </c>
      <c r="C21" s="22" t="inlineStr">
        <is>
          <t>Interna, escondida en el rincón delantero izquierdo</t>
        </is>
      </c>
      <c r="D21" s="93" t="n"/>
      <c r="E21" s="22" t="inlineStr">
        <is>
          <t>Externa, sobre el techo del equipo, porque el acero apantalla la señal</t>
        </is>
      </c>
      <c r="F21" s="93" t="n"/>
      <c r="G21" s="1" t="n"/>
    </row>
    <row r="22" ht="28.0545" customHeight="1">
      <c r="A22" s="1" t="n"/>
      <c r="B22" s="19" t="inlineStr">
        <is>
          <t>Seguridad</t>
        </is>
      </c>
      <c r="C22" s="20" t="inlineStr">
        <is>
          <t>Un interruptor mecánico en serie dentro del cable del motor y sensor de tapa</t>
        </is>
      </c>
      <c r="D22" s="93" t="n"/>
      <c r="E22" s="20" t="inlineStr">
        <is>
          <t>Dos interruptores en serie, parada de emergencia con enclavamiento y reja fija sobre la boca</t>
        </is>
      </c>
      <c r="F22" s="93" t="n"/>
      <c r="G22" s="1" t="n"/>
    </row>
    <row r="23" ht="28.0545" customHeight="1">
      <c r="A23" s="1" t="n"/>
      <c r="B23" s="21" t="inlineStr">
        <is>
          <t>Conexión eléctrica</t>
        </is>
      </c>
      <c r="C23" s="22" t="inlineStr">
        <is>
          <t>Toma corriente normal de 110 voltios, sin polo a tierra</t>
        </is>
      </c>
      <c r="D23" s="93" t="n"/>
      <c r="E23" s="22" t="inlineStr">
        <is>
          <t>Instalación dedicada de 220 voltios, con su breaker y tablero</t>
        </is>
      </c>
      <c r="F23" s="93" t="n"/>
      <c r="G23" s="1" t="n"/>
    </row>
    <row r="24" ht="28.0545" customHeight="1">
      <c r="A24" s="1" t="n"/>
      <c r="B24" s="19" t="inlineStr">
        <is>
          <t>Cada cuánto se recoge</t>
        </is>
      </c>
      <c r="C24" s="20" t="inlineStr">
        <is>
          <t>Cada quince días</t>
        </is>
      </c>
      <c r="D24" s="93" t="n"/>
      <c r="E24" s="20" t="inlineStr">
        <is>
          <t>Entre tres y seis veces por semana</t>
        </is>
      </c>
      <c r="F24" s="93" t="n"/>
      <c r="G24" s="1" t="n"/>
    </row>
    <row r="25" ht="14" customHeight="1">
      <c r="A25" s="1" t="n"/>
      <c r="B25" s="1" t="n"/>
      <c r="C25" s="1" t="n"/>
      <c r="D25" s="1" t="n"/>
      <c r="E25" s="1" t="n"/>
      <c r="F25" s="1" t="n"/>
      <c r="G25" s="1" t="n"/>
    </row>
    <row r="26" ht="26" customHeight="1">
      <c r="A26" s="1" t="n"/>
      <c r="B26" s="69" t="inlineStr">
        <is>
          <t>2.   Cómo está armado por dentro</t>
        </is>
      </c>
      <c r="C26" s="69" t="n"/>
      <c r="D26" s="69" t="n"/>
      <c r="E26" s="69" t="n"/>
      <c r="F26" s="69" t="n"/>
      <c r="G26" s="1" t="n"/>
    </row>
    <row r="27" ht="35.59999999999999" customHeight="1">
      <c r="A27" s="1" t="n"/>
      <c r="B27" s="15" t="inlineStr">
        <is>
          <t>De arriba hacia abajo, siguiendo el modelo del hogar. El modelo comercial repite la misma secuencia en otra escala, y la diferencia se señala al final de cada punto cuando existe.</t>
        </is>
      </c>
      <c r="C27" s="15" t="n"/>
      <c r="D27" s="15" t="n"/>
      <c r="E27" s="15" t="n"/>
      <c r="F27" s="15" t="n"/>
      <c r="G27" s="1" t="n"/>
    </row>
    <row r="28" ht="30" customHeight="1">
      <c r="A28" s="1" t="n"/>
      <c r="B28" s="145" t="inlineStr">
        <is>
          <t>Parte</t>
        </is>
      </c>
      <c r="C28" s="145" t="inlineStr">
        <is>
          <t>Qué es y cómo se arma</t>
        </is>
      </c>
      <c r="D28" s="145" t="n"/>
      <c r="E28" s="145" t="n"/>
      <c r="F28" s="145" t="n"/>
      <c r="G28" s="1" t="n"/>
    </row>
    <row r="29" ht="60.5635" customHeight="1">
      <c r="A29" s="1" t="n"/>
      <c r="B29" s="19" t="inlineStr">
        <is>
          <t>1. La tapa y su sello</t>
        </is>
      </c>
      <c r="C29" s="20" t="inlineStr">
        <is>
          <t>La tapa lleva pegado por debajo un caucho grueso que corre por todo el borde, como el empaque de una nevera. Cuando la tapa baja, un gancho de palanca la aprieta contra ese caucho unos 3 o 4 milímetros. Ese apretón es lo que impide que salga el olor, y es la pieza más importante del aparato en ese sentido: ningún filtro sirve si el aire se escapa por la rendija. En la tapa también va pegado un imán pequeño. EN EL MODELO COMERCIAL la tapa pesa más, así que lleva dos amortiguadores de gas para que no caiga sola, y cierre con llave, porque por una cocina industrial pasan muchas manos.</t>
        </is>
      </c>
      <c r="D29" s="20" t="n"/>
      <c r="E29" s="20" t="n"/>
      <c r="F29" s="20" t="n"/>
      <c r="G29" s="1" t="n"/>
    </row>
    <row r="30" ht="76.81799999999998" customHeight="1">
      <c r="A30" s="1" t="n"/>
      <c r="B30" s="21" t="inlineStr">
        <is>
          <t>2. Los dos interruptores de seguridad</t>
        </is>
      </c>
      <c r="C30" s="22" t="inlineStr">
        <is>
          <t>Esto es lo que evita un accidente con un niño. Hay dos interruptores, no uno. El primero es un imán con su sensor, que le avisa al cerebro electrónico que la tapa ya está cerrada. El segundo es un interruptor mecánico metido DENTRO del cable de la corriente del motor, como una llave de la luz puesta en la mitad del cable. Si la tapa está abierta, ese cable está partido y al motor no le llega corriente, así el programa del aparato esté dañado, colgado o manipulado. No es el software el que protege: es el cable cortado. EN EL MODELO COMERCIAL van dos interruptores mecánicos en serie y además una parada de emergencia de hongo rojo, porque la norma para maquinaria de cocina lo exige.</t>
        </is>
      </c>
      <c r="D30" s="22" t="n"/>
      <c r="E30" s="22" t="n"/>
      <c r="F30" s="22" t="n"/>
      <c r="G30" s="1" t="n"/>
    </row>
    <row r="31" ht="44.309" customHeight="1">
      <c r="A31" s="1" t="n"/>
      <c r="B31" s="19" t="inlineStr">
        <is>
          <t>3. La boca de carga y el deflector</t>
        </is>
      </c>
      <c r="C31" s="20" t="inlineStr">
        <is>
          <t>La abertura por donde se echa la comida no es un hueco recto hacia el molino. Tiene una lámina atravesada, llamada deflector, que deja pasar las cáscaras pero no deja que entre una mano hasta abajo. Es la misma idea del protector de un ventilador. EN EL MODELO COMERCIAL la boca es mucho más grande, así que en lugar de deflector lleva una reja fija de 40 milímetros de paso que no se puede quitar sin herramienta.</t>
        </is>
      </c>
      <c r="D31" s="20" t="n"/>
      <c r="E31" s="20" t="n"/>
      <c r="F31" s="20" t="n"/>
      <c r="G31" s="1" t="n"/>
    </row>
    <row r="32" ht="76.81799999999998" customHeight="1">
      <c r="A32" s="1" t="n"/>
      <c r="B32" s="21" t="inlineStr">
        <is>
          <t>4. La cámara de molido</t>
        </is>
      </c>
      <c r="C32" s="22" t="inlineStr">
        <is>
          <t>Una olla de acero inoxidable de 24 centímetros de diámetro y 8 centímetros útiles de fondo, unos 3.6 litros. Su piso es un disco que gira, y todo el borde está rodeado por un anillo fijo dentado con aberturas de 8 milímetros. La comida queda atrapada entre el disco que gira y el anillo que está quieto, y se va partiendo. No corta como una licuadora: parte y desgarra, como un molino de maíz. Lo que ya quedó suficientemente molido pasa por las aberturas del anillo y sale por el borde, no por el fondo. La sección 3 explica ese recorrido en detalle, porque es lo que hace que el aparato sea posible. EN EL MODELO COMERCIAL la olla es de 35 centímetros y 12 litros, en acero calibre 16, más grueso porque trabaja varias horas al día.</t>
        </is>
      </c>
      <c r="D32" s="22" t="n"/>
      <c r="E32" s="22" t="n"/>
      <c r="F32" s="22" t="n"/>
      <c r="G32" s="1" t="n"/>
    </row>
    <row r="33" ht="76.81799999999998" customHeight="1">
      <c r="A33" s="1" t="n"/>
      <c r="B33" s="19" t="inlineStr">
        <is>
          <t>5. El motor y su caja de engranajes</t>
        </is>
      </c>
      <c r="C33" s="20" t="inlineStr">
        <is>
          <t>Un motor eléctrico de 24 voltios conectado a una caja de engranajes que le baja la velocidad y le sube la fuerza. Gira apenas 90 vueltas por minuto, que es muy despacio, y eso es a propósito: despacio hace menos ruido, no salpica y tiene mucha más fuerza para partir una tusa de maíz o una cáscara de plátano. La caja es de tipo sinfín, que no se puede girar al revés desde afuera, así que nadie puede mover el disco con la mano metiendo un palo. El motor va vertical, colgado justo debajo del centro de la cámara y atornillado a la misma platina que la sostiene, con el eje hacia arriba acoplado directamente al disco. EN EL MODELO COMERCIAL el motor es de 1.1 kilovatios a 220 voltios, con arrancador suave para no golpear la red eléctrica del establecimiento.</t>
        </is>
      </c>
      <c r="D33" s="20" t="n"/>
      <c r="E33" s="20" t="n"/>
      <c r="F33" s="20" t="n"/>
      <c r="G33" s="1" t="n"/>
    </row>
    <row r="34" ht="44.309" customHeight="1">
      <c r="A34" s="1" t="n"/>
      <c r="B34" s="21" t="inlineStr">
        <is>
          <t>6. El sistema antiatasco</t>
        </is>
      </c>
      <c r="C34" s="22" t="inlineStr">
        <is>
          <t>Si el molino se traba con algo duro, el aparato lo detecta porque el motor empieza a consumir más corriente de lo normal. Entonces el cerebro lo hace girar al revés para soltar el pedazo, lo intenta hasta tres veces y, si no lo logra, se apaga y prende una luz de aviso. También hay una protección térmica dentro del motor por si se calienta.</t>
        </is>
      </c>
      <c r="D34" s="22" t="n"/>
      <c r="E34" s="22" t="n"/>
      <c r="F34" s="22" t="n"/>
      <c r="G34" s="1" t="n"/>
    </row>
    <row r="35" ht="76.81799999999998" customHeight="1">
      <c r="A35" s="1" t="n"/>
      <c r="B35" s="19" t="inlineStr">
        <is>
          <t>7. El cajón y la báscula</t>
        </is>
      </c>
      <c r="C35" s="20" t="inlineStr">
        <is>
          <t>Un cajón de 20 litros, de 34 por 30 por 20 centímetros, con la bolsa compostable ya puesta y una rejilla en el fondo que separa el líquido de lo sólido. No se apoya en el piso del mueble: descansa sobre una bandeja que a su vez se apoya en cuatro celdas de carga, una en cada esquina, de 5 kilos cada una. Cada celda es una piecita de aluminio con galgas pegadas que cambian de resistencia eléctrica cuando la pieza se dobla con el peso; un chip lee ese cambio y lo convierte en kilos. De ahí salen los puntos de la familia. EN EL MODELO COMERCIAL no hay cajón ni bolsa: hay un contenedor rodante de 240 litros que el operario intercambia por uno limpio, y la báscula es de 300 kilos.</t>
        </is>
      </c>
      <c r="D35" s="20" t="n"/>
      <c r="E35" s="20" t="n"/>
      <c r="F35" s="20" t="n"/>
      <c r="G35" s="1" t="n"/>
    </row>
    <row r="36" ht="76.81799999999998" customHeight="1">
      <c r="A36" s="1" t="n"/>
      <c r="B36" s="21" t="inlineStr">
        <is>
          <t>8. El sistema contra el olor</t>
        </is>
      </c>
      <c r="C36" s="22" t="inlineStr">
        <is>
          <t>Son cuatro cosas trabajando juntas. El sello de caucho que ya se explicó. Un cajoncito con aserrín o biochar que la familia echa por encima después de cada uso, y que absorbe el agua libre, que es lo que carga el olor. Un cartucho con 250 gramos de carbón activado, que es carbón lleno de poros microscópicos que atrapan las moléculas del olor. Y una válvula de una sola vía que deja salir el gas pero no deja entrar aire ni salir olor. EN EL MODELO COMERCIAL el cartucho es de 1.5 kilos, el ventilador mueve ocho veces más aire y el material seco lo dosifica el propio equipo, porque en un establecimiento rota el personal y no se puede depender de que alguien se acuerde de echarlo.</t>
        </is>
      </c>
      <c r="D36" s="22" t="n"/>
      <c r="E36" s="22" t="n"/>
      <c r="F36" s="22" t="n"/>
      <c r="G36" s="1" t="n"/>
    </row>
    <row r="37" ht="60.5635" customHeight="1">
      <c r="A37" s="1" t="n"/>
      <c r="B37" s="19" t="inlineStr">
        <is>
          <t>9. La electrónica y la antena</t>
        </is>
      </c>
      <c r="C37" s="20" t="inlineStr">
        <is>
          <t>Una tarjeta verde del tamaño de una tarjeta de crédito, con tres cosas soldadas: el cerebro, que es un chip que cuesta menos de siete mil pesos; el radio, que es el que manda el aviso; y la parte de potencia, que es el interruptor electrónico que le da corriente al motor. La tarjeta va en un compartimento sellado, montado POR ENCIMA de la zona húmeda, para que si algo se derrama no le caiga. La antena no está en la tarjeta: es una pieza aparte, y la sección 3 explica dónde va y en qué frecuencia trabaja.</t>
        </is>
      </c>
      <c r="D37" s="20" t="n"/>
      <c r="E37" s="20" t="n"/>
      <c r="F37" s="20" t="n"/>
      <c r="G37" s="1" t="n"/>
    </row>
    <row r="38" ht="44.309" customHeight="1">
      <c r="A38" s="1" t="n"/>
      <c r="B38" s="21" t="inlineStr">
        <is>
          <t>10. La corriente</t>
        </is>
      </c>
      <c r="C38" s="22" t="inlineStr">
        <is>
          <t>Se enchufa a un tomacorriente normal de 110 voltios. Adentro, una fuente convierte esos 110 voltios en los 24 que usa el motor. El aparato tiene doble aislamiento, lo que quiere decir que no necesita el tercer polo de tierra: eso importa porque muchas casas de autoconstrucción en Usme tienen tomas de dos patas. EN EL MODELO COMERCIAL sí se requiere una instalación dedicada de 220 voltios con su propio breaker y su tablero.</t>
        </is>
      </c>
      <c r="D38" s="22" t="n"/>
      <c r="E38" s="22" t="n"/>
      <c r="F38" s="22" t="n"/>
      <c r="G38" s="1" t="n"/>
    </row>
    <row r="39" ht="14" customHeight="1">
      <c r="A39" s="1" t="n"/>
      <c r="B39" s="1" t="n"/>
      <c r="C39" s="1" t="n"/>
      <c r="D39" s="1" t="n"/>
      <c r="E39" s="1" t="n"/>
      <c r="F39" s="1" t="n"/>
      <c r="G39" s="1" t="n"/>
    </row>
    <row r="40" ht="26" customHeight="1">
      <c r="A40" s="1" t="n"/>
      <c r="B40" s="69" t="inlineStr">
        <is>
          <t>3.   Por dónde baja el residuo, de la boca de carga hasta el cajón</t>
        </is>
      </c>
      <c r="C40" s="69" t="n"/>
      <c r="D40" s="69" t="n"/>
      <c r="E40" s="69" t="n"/>
      <c r="F40" s="69" t="n"/>
      <c r="G40" s="1" t="n"/>
    </row>
    <row r="41" ht="63.2" customHeight="1">
      <c r="A41" s="1" t="n"/>
      <c r="B41" s="15" t="inlineStr">
        <is>
          <t>Esta es la pregunta que hay que responder antes que ninguna otra, porque de ella depende que el aparato sea real y no un dibujo. Debajo de la cámara de molido está el motor, de manera que el residuo no puede caer en línea recta: si la salida estuviera en el fondo, daría contra el motor. La solución no es nueva ni arriesgada, es la misma que usa un triturador de fregadero desde hace sesenta años: el material no sale por abajo, sale por el borde. Todo lo que sigue aplica igual a los dos modelos, cambiando las medidas.</t>
        </is>
      </c>
      <c r="C41" s="15" t="n"/>
      <c r="D41" s="15" t="n"/>
      <c r="E41" s="15" t="n"/>
      <c r="F41" s="15" t="n"/>
      <c r="G41" s="1" t="n"/>
    </row>
    <row r="42" ht="30" customHeight="1">
      <c r="A42" s="1" t="n"/>
      <c r="B42" s="145" t="inlineStr">
        <is>
          <t>Punto del recorrido</t>
        </is>
      </c>
      <c r="C42" s="145" t="inlineStr">
        <is>
          <t>Cómo está resuelto</t>
        </is>
      </c>
      <c r="D42" s="145" t="n"/>
      <c r="E42" s="145" t="n"/>
      <c r="F42" s="145" t="n"/>
      <c r="G42" s="1" t="n"/>
    </row>
    <row r="43" ht="60.5635" customHeight="1">
      <c r="A43" s="1" t="n"/>
      <c r="B43" s="19" t="inlineStr">
        <is>
          <t>1. La salida no está en el fondo, está en el borde</t>
        </is>
      </c>
      <c r="C43" s="20" t="inlineStr">
        <is>
          <t>El piso de la cámara es el disco que gira, y debajo del disco está el motor: por ahí no puede salir nada. Por eso la descarga se hace por el costado. El disco lanza el material hacia afuera por fuerza centrífuga contra el anillo de corte fijo que rodea todo el borde, que tiene aberturas de 8 milímetros. Lo que ya quedó suficientemente molido pasa por esas aberturas; lo que no, sigue dando vueltas contra el anillo hasta que pasa. El tamaño de la abertura es, entonces, lo que define qué tan fino queda el material, y 8 milímetros es el tamaño que la planta necesita para que el compostaje arranque rápido sin obligar al molino a trabajar de más.</t>
        </is>
      </c>
      <c r="D43" s="20" t="n"/>
      <c r="E43" s="20" t="n"/>
      <c r="F43" s="20" t="n"/>
      <c r="G43" s="1" t="n"/>
    </row>
    <row r="44" ht="60.5635" customHeight="1">
      <c r="A44" s="1" t="n"/>
      <c r="B44" s="21" t="inlineStr">
        <is>
          <t>2. Dónde queda esa salida respecto al disco</t>
        </is>
      </c>
      <c r="C44" s="22" t="inlineStr">
        <is>
          <t>Pasando el anillo, el material cae 1.5 centímetros a un canal circular que rodea la cámara por fuera, como una canaleta de 2 centímetros de ancho. El piso de ese canal está inclinado 6 grados hacia un solo punto. En ese punto, en la pared de la cámara, hay una abertura rectangular de 9 por 4 centímetros: esa es la boca de descarga. Su borde inferior queda al mismo nivel que el piso del canal, de manera que el material sale deslizándose y en ningún momento tiene que subir. La boca está en el costado derecho del aparato, ubicada en el sentido en que gira el disco, para que el propio giro empuje el material hacia ella en lugar de alejarlo.</t>
        </is>
      </c>
      <c r="D44" s="22" t="n"/>
      <c r="E44" s="22" t="n"/>
      <c r="F44" s="22" t="n"/>
      <c r="G44" s="1" t="n"/>
    </row>
    <row r="45" ht="76.81799999999998" customHeight="1">
      <c r="A45" s="1" t="n"/>
      <c r="B45" s="19" t="inlineStr">
        <is>
          <t>3. Qué forma tiene el ducto de bajada</t>
        </is>
      </c>
      <c r="C45" s="20" t="inlineStr">
        <is>
          <t>De la boca de descarga sale un ducto de sección rectangular que gira 90 grados hacia abajo en 6 centímetros y luego baja pegado a la pared derecha del mueble, desde los 46 hasta los 30 centímetros de altura. El ducto se va ensanchando hacia abajo: empieza en 9 por 4 centímetros y termina en 12 por 6. Ese ensanchamiento no es estético, es lo que impide que la pulpa húmeda haga puente y tape el paso, que es la falla clásica de cualquier tolva. Por la misma razón ninguna de sus paredes baja con menos de 60 grados de inclinación: la pulpa de comida mojada se queda quieta por debajo de unos 40 grados, así que 60 deja margen de sobra. El ducto termina 2 centímetros por encima del borde del cajón y descarga sobre el cuarto trasero derecho, para que el material se reparta y no se amontone en un solo punto.</t>
        </is>
      </c>
      <c r="D45" s="20" t="n"/>
      <c r="E45" s="20" t="n"/>
      <c r="F45" s="20" t="n"/>
      <c r="G45" s="1" t="n"/>
    </row>
    <row r="46" ht="76.81799999999998" customHeight="1">
      <c r="A46" s="1" t="n"/>
      <c r="B46" s="21" t="inlineStr">
        <is>
          <t>4. Cómo se evita que el material se quede alrededor del eje</t>
        </is>
      </c>
      <c r="C46" s="22" t="inlineStr">
        <is>
          <t>Este es el punto donde este tipo de aparatos suele fallar, así que lleva tres medidas juntas. Primera: el disco no es plano, es cónico, sube 12 grados hacia el centro, de modo que nada puede quedarse reposando en la mitad. Segunda: el eje que atraviesa el disco va tapado con un sombrerete de 40 milímetros atornillado por encima, que funciona como un paraguas: el líquido y la pulpa caen por fuera de la línea del sello y nunca encima de él. Tercera: el eje cruza el piso por un doble sello, uno de labio de caucho abajo y un laberinto arriba formado entre el sombrerete y un collar levantado, con una ranura de drenaje de 0.8 milímetros que devuelve al canal cualquier filtración en vez de mandarla al rodamiento. Y como remate, el disco pasa a 2.5 milímetros de la pared y lleva dos aletas de caucho en el borde que barren esa luz en cada vuelta, para que no se forme costra.</t>
        </is>
      </c>
      <c r="D46" s="22" t="n"/>
      <c r="E46" s="22" t="n"/>
      <c r="F46" s="22" t="n"/>
      <c r="G46" s="1" t="n"/>
    </row>
    <row r="47" ht="60.5635" customHeight="1">
      <c r="A47" s="1" t="n"/>
      <c r="B47" s="19" t="inlineStr">
        <is>
          <t>5. Cómo queda el motor respecto a la descarga</t>
        </is>
      </c>
      <c r="C47" s="20" t="inlineStr">
        <is>
          <t>El motor va vertical, colgado por debajo del centro de la cámara, con el eje hacia arriba y acoplado directamente al disco. Motor y cámara van atornillados a una misma platina de acero, de modo que forman un solo conjunto y la alineación no depende de cómo se arme el resto. El motor mide unos 11 centímetros de diámetro y ocupa la parte central del mueble, que tiene 38: quedan libres unos 13 centímetros a cada lado. Como la descarga es por el borde y no por el centro, el motor nunca se atraviesa en el camino del material. Ese es justamente el punto: el motor estorba solo si uno insiste en sacar el residuo por abajo.</t>
        </is>
      </c>
      <c r="D47" s="20" t="n"/>
      <c r="E47" s="20" t="n"/>
      <c r="F47" s="20" t="n"/>
      <c r="G47" s="1" t="n"/>
    </row>
    <row r="48" ht="76.81799999999998" customHeight="1">
      <c r="A48" s="1" t="n"/>
      <c r="B48" s="21" t="inlineStr">
        <is>
          <t>6. Qué hay exactamente a los lados</t>
        </is>
      </c>
      <c r="C48" s="22" t="inlineStr">
        <is>
          <t>El piso de máquinas, entre los 30 y los 46 centímetros de altura, se reparte así, mirando el aparato de frente. En el CENTRO, el motor con su platina. A la DERECHA, una franja de 6 centímetros para el ducto de bajada. A la IZQUIERDA, una franja de 10 centímetros con la caja sellada de la electrónica, montada en vertical contra la pared interior, con grado de protección IP54 y por encima del nivel del cajón para que ningún derrame la alcance; debajo de ella, en su propio compartimento separado por una barrera plástica y con ventilación independiente, va la fuente que baja de 110 a 24 voltios. ATRÁS, una franja de 5 centímetros de fondo a todo lo ancho: es la columna de olores, con el ventilador abajo, el cartucho de carbón encima y la válvula de una sola vía arriba. Y al FRENTE, los rieles del cajón y el sensor que detecta si el cajón está puesto en su sitio.</t>
        </is>
      </c>
      <c r="D48" s="22" t="n"/>
      <c r="E48" s="22" t="n"/>
      <c r="F48" s="22" t="n"/>
      <c r="G48" s="1" t="n"/>
    </row>
    <row r="49" ht="93.07249999999999" customHeight="1">
      <c r="A49" s="1" t="n"/>
      <c r="B49" s="19" t="inlineStr">
        <is>
          <t>7. Cómo se integra la báscula con el cajón</t>
        </is>
      </c>
      <c r="C49" s="20" t="inlineStr">
        <is>
          <t>El cajón no se apoya en el piso del mueble: se apoya en una bandeja flotante, y esa bandeja descansa sobre cuatro celdas de carga, una en cada esquina, de 5 kilos cada una, que sumadas dan 20 kilos de alcance. La bandeja no toca el mueble en ningún otro punto: los rieles laterales tienen 1.5 milímetros de holgura y terminan en rodillos de nailon que quedan separados cuando el cajón está cerrado, para que todo el peso pase por las celdas. Cada vez que el aparato detecta, con un imán y su sensor, que el cajón volvió vacío a su sitio, pone la báscula en cero, de manera que el peso del cajón y de la bolsa quedan descontados. La lectura se toma 2 segundos después de que el molino para y con el ventilador apagado, para que la vibración no la altere, y el chip promedia 32 lecturas descartando las que se salen. La precisión queda en más o menos 20 gramos, que para los 460 gramos que entrega un hogar al día es de sobra para convertir peso en puntos sin que nadie pueda discutirlo. Y como lo que se pesa es el cajón, el mismo sistema sabe cuándo está lleno: eso es lo que dispara el aviso de recolección.</t>
        </is>
      </c>
      <c r="D49" s="20" t="n"/>
      <c r="E49" s="20" t="n"/>
      <c r="F49" s="20" t="n"/>
      <c r="G49" s="1" t="n"/>
    </row>
    <row r="50" ht="109.327" customHeight="1">
      <c r="A50" s="1" t="n"/>
      <c r="B50" s="21" t="inlineStr">
        <is>
          <t>8. Por dónde circula el aire hacia el sistema de olores</t>
        </is>
      </c>
      <c r="C50" s="22" t="inlineStr">
        <is>
          <t>El aparato trabaja con presión ligeramente negativa: el ventilador saca aire, nunca lo mete. Así el aire siempre entra de la cocina hacia el aparato y jamás sale del aparato hacia la cocina, que es la condición de fondo para que no huela. El recorrido es este: el aire entra por una rendija filtrada de 2 milímetros alrededor del frente del cajón, sube por el compartimento del cajón, pasa por la rejilla del fondo, entra a la columna trasera, atraviesa el cartucho de 250 gramos de carbón activado y sale por la válvula de una sola vía, en la parte de atrás, a 62 centímetros de altura. La cámara de molido se conecta a esa misma columna por un puerto de 20 milímetros situado por encima del plano del disco, para que el vapor que se libera al moler también quede atrapado. El ventilador es axial de 12 voltios y 40 por 40 milímetros, mueve 5 metros cúbicos por hora y funciona 3 minutos después de cada cierre de tapa más 2 minutos cada hora, con lo cual gasta menos de medio kilovatio hora al mes. El sello de caucho cierra por arriba, así que la única salida posible del aire es el carbón, y la válvula impide que entre aire de vuelta cuando el ventilador está apagado, que es precisamente lo que devolvería el olor a la cocina.</t>
        </is>
      </c>
      <c r="D50" s="22" t="n"/>
      <c r="E50" s="22" t="n"/>
      <c r="F50" s="22" t="n"/>
      <c r="G50" s="1" t="n"/>
    </row>
    <row r="51" ht="141.836" customHeight="1">
      <c r="A51" s="1" t="n"/>
      <c r="B51" s="19" t="inlineStr">
        <is>
          <t>9. Dónde está la antena y en qué frecuencia trabaja</t>
        </is>
      </c>
      <c r="C51" s="20" t="inlineStr">
        <is>
          <t>La antena NO está integrada en la tarjeta electrónica ni sobresale del aparato: es una pieza aparte, interna y escondida. Trabaja en la banda de 915 a 928 megahercios, que es la que Colombia tiene asignada para este tipo de equipos y que no requiere licencia ni pago. A esa frecuencia la longitud de onda es de unos 33 centímetros, y la antena es un monopolo de un cuarto de onda, es decir un hilo vertical de 8.2 centímetros montado sobre una tira rígida. Va en el rincón delantero izquierdo del mueble, en la franja de 2 centímetros que queda entre la caja de la electrónica y la pared exterior, desde los 32 hasta los 42 centímetros de altura, y se conecta a la tarjeta por un cable coaxial de 15 centímetros. Esa ubicación no es casual: queda a 9 centímetros del metal más cercano, que es la platina del motor, y a 12 centímetros de la cámara de acero, que es lo que la apantallaría. Además el plástico del chasis, de 3 milímetros de polipropileno, deja pasar la señal sin estorbo, y en esa zona el molde se deja liso, sin nervaduras, en una ventana de 12 por 25 centímetros. Se descartó la antena externa porque es lo primero que se parte en una cocina y porque obliga a hacer un agujero por donde entraría agua. Y se descartó la antena impresa en la tarjeta porque, metida entre un motor y una olla de acero, pierde entre 6 y 10 decibelios, que es justamente el margen que hace falta para alcanzar la antena del barrio. El radio transmite menos de un segundo, cuatro veces al día, con 25 milivatios, que es el máximo permitido en esa banda. EN EL MODELO COMERCIAL la antena sí es externa: un latiguillo de 19 centímetros con base magnética sobre el techo del equipo, porque el chasis de acero apantalla por completo y no hay forma de dejarla adentro.</t>
        </is>
      </c>
      <c r="D51" s="20" t="n"/>
      <c r="E51" s="20" t="n"/>
      <c r="F51" s="20" t="n"/>
      <c r="G51" s="1" t="n"/>
    </row>
    <row r="52" ht="125.5815" customHeight="1">
      <c r="A52" s="1" t="n"/>
      <c r="B52" s="21" t="inlineStr">
        <is>
          <t>10. Cómo queda puesta la bolsa en el cajón</t>
        </is>
      </c>
      <c r="C52" s="22" t="inlineStr">
        <is>
          <t>La bolsa viene ya puesta en el cajón desde que se instala el aparato: la familia nunca la pone ni la quita. El cajón tiene una ranura que recorre todo su reborde superior, y la bolsa tiene el borde elástico, de modo que encaja a presión y queda abierta, tensa y sin caerse adentro. Adentro de la bolsa va la rejilla separadora, que es una placa perforada de polipropileno con cuatro patas de 3 centímetros: deja abajo un sumidero de unos 2.5 litros donde se junta el líquido libre, y encima queda lo sólido, escurrido. Cada quince días el operario abre el cajón, tira del cordón de cierre que la bolsa trae integrado en la boca, con lo cual la bolsa se cierra sola, sin nudo y sin que nadie toque el contenido; la saca, pasa la rejilla a la bolsa nueva, la encaja en el reborde y cierra el cajón. Son unos quince segundos. En la base del cajón hay un compartimento moldeado con tapa a presión donde van diez bolsas dobladas de reserva, que el operario repone en la misma visita; están ahí para que la familia pueda cambiar una bolsa por su cuenta si se rompe o se derrama algo, sin tener que esperar a la ruta. No hay mecanismo, ni corredera, ni motor: el reborde y el compartimento son parte del mismo molde del cajón, y por eso casi no cuestan y no se pueden dañar. EN EL MODELO COMERCIAL no hay bolsa: el material cae directo al contenedor rodante, que el operario intercambia por uno limpio, y el lleno se lava en la planta. Por eso esa línea no tiene consumible recurrente.</t>
        </is>
      </c>
      <c r="D52" s="22" t="n"/>
      <c r="E52" s="22" t="n"/>
      <c r="F52" s="22" t="n"/>
      <c r="G52" s="1" t="n"/>
    </row>
    <row r="53" ht="14" customHeight="1">
      <c r="A53" s="1" t="n"/>
      <c r="B53" s="1" t="n"/>
      <c r="C53" s="1" t="n"/>
      <c r="D53" s="1" t="n"/>
      <c r="E53" s="1" t="n"/>
      <c r="F53" s="1" t="n"/>
      <c r="G53" s="1" t="n"/>
    </row>
    <row r="54" ht="26" customHeight="1">
      <c r="A54" s="1" t="n"/>
      <c r="B54" s="14" t="inlineStr">
        <is>
          <t>4.   Las medidas y dónde va cada pieza</t>
        </is>
      </c>
      <c r="C54" s="14" t="n"/>
      <c r="D54" s="14" t="n"/>
      <c r="E54" s="14" t="n"/>
      <c r="F54" s="14" t="n"/>
      <c r="G54" s="1" t="n"/>
    </row>
    <row r="55" ht="46.02" customHeight="1">
      <c r="A55" s="1" t="n"/>
      <c r="B55" s="15" t="inlineStr">
        <is>
          <t>El modelo del hogar mide 38 centímetros de ancho, 40 de fondo y 68 de alto. Las posiciones se dan desde la esquina inferior izquierda del frente: «ancho» se cuenta de izquierda a derecha sobre los 38 centímetros, «fondo» del frente hacia atrás sobre los 40, y «alto» desde el piso sobre los 68.</t>
        </is>
      </c>
      <c r="C55" s="15" t="n"/>
      <c r="D55" s="15" t="n"/>
      <c r="E55" s="15" t="n"/>
      <c r="F55" s="15" t="n"/>
      <c r="G55" s="1" t="n"/>
    </row>
    <row r="56" ht="20" customHeight="1">
      <c r="A56" s="1" t="n"/>
      <c r="B56" s="204" t="inlineStr">
        <is>
          <t>4.1  Cómo se reparte la altura</t>
        </is>
      </c>
      <c r="C56" s="204" t="n"/>
      <c r="D56" s="204" t="n"/>
      <c r="E56" s="204" t="n"/>
      <c r="F56" s="204" t="n"/>
      <c r="G56" s="1" t="n"/>
    </row>
    <row r="57" ht="30" customHeight="1">
      <c r="A57" s="1" t="n"/>
      <c r="B57" s="66" t="inlineStr">
        <is>
          <t>Zona</t>
        </is>
      </c>
      <c r="C57" s="66" t="inlineStr">
        <is>
          <t>Desde y hasta</t>
        </is>
      </c>
      <c r="D57" s="188" t="n"/>
      <c r="E57" s="66" t="inlineStr">
        <is>
          <t>Qué va ahí</t>
        </is>
      </c>
      <c r="F57" s="188" t="n"/>
      <c r="G57" s="1" t="n"/>
    </row>
    <row r="58" ht="28.0545" customHeight="1">
      <c r="A58" s="1" t="n"/>
      <c r="B58" s="19" t="inlineStr">
        <is>
          <t>Patas y base</t>
        </is>
      </c>
      <c r="C58" s="205" t="inlineStr">
        <is>
          <t>De 0 a 3 centímetros</t>
        </is>
      </c>
      <c r="D58" s="93" t="n"/>
      <c r="E58" s="20" t="inlineStr">
        <is>
          <t>Patas antideslizantes y el fondo del mueble.</t>
        </is>
      </c>
      <c r="F58" s="93" t="n"/>
      <c r="G58" s="1" t="n"/>
    </row>
    <row r="59" ht="28.0545" customHeight="1">
      <c r="A59" s="1" t="n"/>
      <c r="B59" s="21" t="inlineStr">
        <is>
          <t>Compartimento del cajón</t>
        </is>
      </c>
      <c r="C59" s="206" t="inlineStr">
        <is>
          <t>De 3 a 30 centímetros</t>
        </is>
      </c>
      <c r="D59" s="93" t="n"/>
      <c r="E59" s="22" t="inlineStr">
        <is>
          <t>El cajón de 20 litros, la bandeja de pesaje, las cuatro celdas de carga y la holgura para sacarlo.</t>
        </is>
      </c>
      <c r="F59" s="93" t="n"/>
      <c r="G59" s="1" t="n"/>
    </row>
    <row r="60" ht="44.309" customHeight="1">
      <c r="A60" s="1" t="n"/>
      <c r="B60" s="19" t="inlineStr">
        <is>
          <t>Piso de máquinas</t>
        </is>
      </c>
      <c r="C60" s="205" t="inlineStr">
        <is>
          <t>De 30 a 46 centímetros</t>
        </is>
      </c>
      <c r="D60" s="93" t="n"/>
      <c r="E60" s="20" t="inlineStr">
        <is>
          <t>El motor en el centro, el ducto de bajada a la derecha, la electrónica, la fuente y la antena a la izquierda, y la columna de olores atrás.</t>
        </is>
      </c>
      <c r="F60" s="93" t="n"/>
      <c r="G60" s="1" t="n"/>
    </row>
    <row r="61" ht="28.0545" customHeight="1">
      <c r="A61" s="1" t="n"/>
      <c r="B61" s="21" t="inlineStr">
        <is>
          <t>Cámara de molido</t>
        </is>
      </c>
      <c r="C61" s="206" t="inlineStr">
        <is>
          <t>De 46 a 58 centímetros</t>
        </is>
      </c>
      <c r="D61" s="93" t="n"/>
      <c r="E61" s="22" t="inlineStr">
        <is>
          <t>La olla de acero de 24 centímetros con su disco, el anillo de corte y el canal de recolección.</t>
        </is>
      </c>
      <c r="F61" s="93" t="n"/>
      <c r="G61" s="1" t="n"/>
    </row>
    <row r="62" ht="28.0545" customHeight="1">
      <c r="A62" s="1" t="n"/>
      <c r="B62" s="19" t="inlineStr">
        <is>
          <t>Boca de carga, deflector y tapa</t>
        </is>
      </c>
      <c r="C62" s="205" t="inlineStr">
        <is>
          <t>De 58 a 68 centímetros</t>
        </is>
      </c>
      <c r="D62" s="93" t="n"/>
      <c r="E62" s="20" t="inlineStr">
        <is>
          <t>La abertura por donde se echa la comida, la lámina que impide meter la mano y la tapa con su sello.</t>
        </is>
      </c>
      <c r="F62" s="93" t="n"/>
      <c r="G62" s="1" t="n"/>
    </row>
    <row r="63" ht="8" customHeight="1">
      <c r="A63" s="1" t="n"/>
      <c r="B63" s="1" t="n"/>
      <c r="C63" s="1" t="n"/>
      <c r="D63" s="1" t="n"/>
      <c r="E63" s="1" t="n"/>
      <c r="F63" s="1" t="n"/>
      <c r="G63" s="1" t="n"/>
    </row>
    <row r="64" ht="20" customHeight="1">
      <c r="A64" s="1" t="n"/>
      <c r="B64" s="204" t="inlineStr">
        <is>
          <t>4.2  Cada pieza, con su medida y su posición</t>
        </is>
      </c>
      <c r="C64" s="204" t="n"/>
      <c r="D64" s="204" t="n"/>
      <c r="E64" s="204" t="n"/>
      <c r="F64" s="204" t="n"/>
      <c r="G64" s="1" t="n"/>
    </row>
    <row r="65" ht="30" customHeight="1">
      <c r="A65" s="1" t="n"/>
      <c r="B65" s="18" t="inlineStr">
        <is>
          <t>Pieza</t>
        </is>
      </c>
      <c r="C65" s="18" t="inlineStr">
        <is>
          <t>Medida y posición</t>
        </is>
      </c>
      <c r="D65" s="99" t="n"/>
      <c r="E65" s="18" t="inlineStr">
        <is>
          <t>Cómo se fija</t>
        </is>
      </c>
      <c r="F65" s="99" t="n"/>
      <c r="G65" s="1" t="n"/>
    </row>
    <row r="66" ht="42.59799999999999" customHeight="1">
      <c r="A66" s="1" t="n"/>
      <c r="B66" s="207" t="inlineStr">
        <is>
          <t>Chasis</t>
        </is>
      </c>
      <c r="C66" s="208" t="inlineStr">
        <is>
          <t>38 × 40 × 68 centímetros, pared de 3 milímetros. Es la envolvente completa.</t>
        </is>
      </c>
      <c r="D66" s="93" t="n"/>
      <c r="E66" s="209" t="inlineStr">
        <is>
          <t>Pieza única rotomoldeada en polipropileno, sin uniones ni tornillos a la vista, con nervaduras internas que le dan rigidez.</t>
        </is>
      </c>
      <c r="F66" s="93" t="n"/>
      <c r="G66" s="1" t="n"/>
    </row>
    <row r="67" ht="27.19899999999999" customHeight="1">
      <c r="A67" s="1" t="n"/>
      <c r="B67" s="210" t="inlineStr">
        <is>
          <t>Tapa con sello y gancho</t>
        </is>
      </c>
      <c r="C67" s="211" t="inlineStr">
        <is>
          <t>38 × 40 × 4 centímetros. Alto de 64 a 68.</t>
        </is>
      </c>
      <c r="D67" s="93" t="n"/>
      <c r="E67" s="212" t="inlineStr">
        <is>
          <t>Bisagra corrida en el borde trasero y gancho de palanca al frente, que aprieta el caucho 3 o 4 milímetros.</t>
        </is>
      </c>
      <c r="F67" s="93" t="n"/>
      <c r="G67" s="1" t="n"/>
    </row>
    <row r="68" ht="27.19899999999999" customHeight="1">
      <c r="A68" s="1" t="n"/>
      <c r="B68" s="207" t="inlineStr">
        <is>
          <t>Boca de carga y deflector</t>
        </is>
      </c>
      <c r="C68" s="208" t="inlineStr">
        <is>
          <t>Abertura de 22 × 22 centímetros. Centrada: ancho de 8 a 30, fondo de 8 a 30, alto de 58 a 64.</t>
        </is>
      </c>
      <c r="D68" s="93" t="n"/>
      <c r="E68" s="209" t="inlineStr">
        <is>
          <t>El deflector va atornillado al reborde y se quita con un destornillador para limpiarlo.</t>
        </is>
      </c>
      <c r="F68" s="93" t="n"/>
      <c r="G68" s="1" t="n"/>
    </row>
    <row r="69" ht="27.19899999999999" customHeight="1">
      <c r="A69" s="1" t="n"/>
      <c r="B69" s="210" t="inlineStr">
        <is>
          <t>Cámara de molido</t>
        </is>
      </c>
      <c r="C69" s="211" t="inlineStr">
        <is>
          <t>Olla de 24 centímetros de diámetro y 12 de alto. Centro en ancho 19 y fondo 18; alto de 46 a 58.</t>
        </is>
      </c>
      <c r="D69" s="93" t="n"/>
      <c r="E69" s="212" t="inlineStr">
        <is>
          <t>Atornillada por su pestaña a la platina de acero, con empaque de silicona.</t>
        </is>
      </c>
      <c r="F69" s="93" t="n"/>
      <c r="G69" s="1" t="n"/>
    </row>
    <row r="70" ht="27.19899999999999" customHeight="1">
      <c r="A70" s="1" t="n"/>
      <c r="B70" s="207" t="inlineStr">
        <is>
          <t>Disco de molido</t>
        </is>
      </c>
      <c r="C70" s="208" t="inlineStr">
        <is>
          <t>23.5 centímetros de diámetro, cónico 12 grados. Alto 47.5, a 2.5 milímetros de la pared.</t>
        </is>
      </c>
      <c r="D70" s="93" t="n"/>
      <c r="E70" s="209" t="inlineStr">
        <is>
          <t>Cuña y tuerca sobre el eje del motor, con sombrerete de 40 milímetros atornillado encima.</t>
        </is>
      </c>
      <c r="F70" s="93" t="n"/>
      <c r="G70" s="1" t="n"/>
    </row>
    <row r="71" ht="27.19899999999999" customHeight="1">
      <c r="A71" s="1" t="n"/>
      <c r="B71" s="210" t="inlineStr">
        <is>
          <t>Anillo de corte</t>
        </is>
      </c>
      <c r="C71" s="211" t="inlineStr">
        <is>
          <t>24 centímetros de diámetro, aberturas de 8 milímetros. Alto de 47 a 48, rodeando el disco.</t>
        </is>
      </c>
      <c r="D71" s="93" t="n"/>
      <c r="E71" s="212" t="inlineStr">
        <is>
          <t>Prensado en la pared de la olla; se cambia sin desmontar el motor.</t>
        </is>
      </c>
      <c r="F71" s="93" t="n"/>
      <c r="G71" s="1" t="n"/>
    </row>
    <row r="72" ht="27.19899999999999" customHeight="1">
      <c r="A72" s="1" t="n"/>
      <c r="B72" s="207" t="inlineStr">
        <is>
          <t>Canal de recolección</t>
        </is>
      </c>
      <c r="C72" s="208" t="inlineStr">
        <is>
          <t>Anillo de 2 centímetros de ancho, con 6 grados de caída. Alto 46, rodeando la cámara.</t>
        </is>
      </c>
      <c r="D72" s="93" t="n"/>
      <c r="E72" s="209" t="inlineStr">
        <is>
          <t>Forma parte de la misma pieza de la cámara.</t>
        </is>
      </c>
      <c r="F72" s="93" t="n"/>
      <c r="G72" s="1" t="n"/>
    </row>
    <row r="73" ht="27.19899999999999" customHeight="1">
      <c r="A73" s="1" t="n"/>
      <c r="B73" s="210" t="inlineStr">
        <is>
          <t>Boca de descarga</t>
        </is>
      </c>
      <c r="C73" s="211" t="inlineStr">
        <is>
          <t>9 × 4 centímetros. Ancho 31, fondo de 14 a 23, alto de 46 a 50.</t>
        </is>
      </c>
      <c r="D73" s="93" t="n"/>
      <c r="E73" s="212" t="inlineStr">
        <is>
          <t>Recorte en la pieza de la cámara, con reborde para que encastre el ducto.</t>
        </is>
      </c>
      <c r="F73" s="93" t="n"/>
      <c r="G73" s="1" t="n"/>
    </row>
    <row r="74" ht="27.19899999999999" customHeight="1">
      <c r="A74" s="1" t="n"/>
      <c r="B74" s="207" t="inlineStr">
        <is>
          <t>Ducto de bajada</t>
        </is>
      </c>
      <c r="C74" s="208" t="inlineStr">
        <is>
          <t>De 9 × 4 a 12 × 6 centímetros, 22 de largo. Ancho de 31 a 37, fondo de 12 a 24, alto de 30 a 50.</t>
        </is>
      </c>
      <c r="D74" s="93" t="n"/>
      <c r="E74" s="209" t="inlineStr">
        <is>
          <t>Encastre en la boca de descarga y dos tornillos al chasis; se retira completo para limpiarlo.</t>
        </is>
      </c>
      <c r="F74" s="93" t="n"/>
      <c r="G74" s="1" t="n"/>
    </row>
    <row r="75" ht="27.19899999999999" customHeight="1">
      <c r="A75" s="1" t="n"/>
      <c r="B75" s="210" t="inlineStr">
        <is>
          <t>Motorreductor</t>
        </is>
      </c>
      <c r="C75" s="211" t="inlineStr">
        <is>
          <t>11 centímetros de diámetro y 18 de largo. Centro en ancho 19 y fondo 18; alto de 28 a 46.</t>
        </is>
      </c>
      <c r="D75" s="93" t="n"/>
      <c r="E75" s="212" t="inlineStr">
        <is>
          <t>Colgado de la platina con cuatro tornillos M6 y silentblocs de caucho contra la vibración.</t>
        </is>
      </c>
      <c r="F75" s="93" t="n"/>
      <c r="G75" s="1" t="n"/>
    </row>
    <row r="76" ht="27.19899999999999" customHeight="1">
      <c r="A76" s="1" t="n"/>
      <c r="B76" s="207" t="inlineStr">
        <is>
          <t>Platina de acero</t>
        </is>
      </c>
      <c r="C76" s="208" t="inlineStr">
        <is>
          <t>30 × 30 centímetros, 3 milímetros de espesor. Alto 46, en el centro del mueble.</t>
        </is>
      </c>
      <c r="D76" s="93" t="n"/>
      <c r="E76" s="209" t="inlineStr">
        <is>
          <t>Seis tornillos a los refuerzos internos del chasis. Sostiene a la vez la cámara y el motor.</t>
        </is>
      </c>
      <c r="F76" s="93" t="n"/>
      <c r="G76" s="1" t="n"/>
    </row>
    <row r="77" ht="27.19899999999999" customHeight="1">
      <c r="A77" s="1" t="n"/>
      <c r="B77" s="210" t="inlineStr">
        <is>
          <t>Caja de la electrónica</t>
        </is>
      </c>
      <c r="C77" s="211" t="inlineStr">
        <is>
          <t>16 × 10 × 4 centímetros, grado IP54. Ancho de 2 a 12, fondo de 6 a 22, alto de 36 a 46.</t>
        </is>
      </c>
      <c r="D77" s="93" t="n"/>
      <c r="E77" s="212" t="inlineStr">
        <is>
          <t>Atornillada en vertical a la pared izquierda, por encima del nivel del cajón.</t>
        </is>
      </c>
      <c r="F77" s="93" t="n"/>
      <c r="G77" s="1" t="n"/>
    </row>
    <row r="78" ht="42.59799999999999" customHeight="1">
      <c r="A78" s="1" t="n"/>
      <c r="B78" s="207" t="inlineStr">
        <is>
          <t>Antena interna</t>
        </is>
      </c>
      <c r="C78" s="208" t="inlineStr">
        <is>
          <t>Hilo vertical de 8.2 centímetros. Ancho de 0.5 a 2.5, fondo de 4 a 8, alto de 32 a 42.</t>
        </is>
      </c>
      <c r="D78" s="93" t="n"/>
      <c r="E78" s="209" t="inlineStr">
        <is>
          <t>Clip plástico a una nervadura del chasis, con cable coaxial de 15 centímetros hasta la tarjeta. A 9 centímetros del metal más cercano.</t>
        </is>
      </c>
      <c r="F78" s="93" t="n"/>
      <c r="G78" s="1" t="n"/>
    </row>
    <row r="79" ht="27.19899999999999" customHeight="1">
      <c r="A79" s="1" t="n"/>
      <c r="B79" s="210" t="inlineStr">
        <is>
          <t>Fuente de 110 a 24 voltios</t>
        </is>
      </c>
      <c r="C79" s="211" t="inlineStr">
        <is>
          <t>12 × 6 × 4 centímetros. Ancho de 2 a 14, fondo de 6 a 14, alto de 30 a 35.</t>
        </is>
      </c>
      <c r="D79" s="93" t="n"/>
      <c r="E79" s="212" t="inlineStr">
        <is>
          <t>Compartimento propio, separado de la electrónica por una barrera plástica y con ventilación independiente.</t>
        </is>
      </c>
      <c r="F79" s="93" t="n"/>
      <c r="G79" s="1" t="n"/>
    </row>
    <row r="80" ht="27.19899999999999" customHeight="1">
      <c r="A80" s="1" t="n"/>
      <c r="B80" s="207" t="inlineStr">
        <is>
          <t>Columna de olores</t>
        </is>
      </c>
      <c r="C80" s="208" t="inlineStr">
        <is>
          <t>38 centímetros de ancho por 5 de fondo. Fondo de 35 a 40, alto de 30 a 62.</t>
        </is>
      </c>
      <c r="D80" s="93" t="n"/>
      <c r="E80" s="209" t="inlineStr">
        <is>
          <t>Forma parte del chasis. Aloja el ventilador, el cartucho y la válvula.</t>
        </is>
      </c>
      <c r="F80" s="93" t="n"/>
      <c r="G80" s="1" t="n"/>
    </row>
    <row r="81" ht="27.19899999999999" customHeight="1">
      <c r="A81" s="1" t="n"/>
      <c r="B81" s="210" t="inlineStr">
        <is>
          <t>Ventilador de extracción</t>
        </is>
      </c>
      <c r="C81" s="211" t="inlineStr">
        <is>
          <t>40 × 40 × 10 milímetros, 12 voltios. Ancho 19, fondo 36, alto 32.</t>
        </is>
      </c>
      <c r="D81" s="93" t="n"/>
      <c r="E81" s="212" t="inlineStr">
        <is>
          <t>A presión en su alojamiento, con amortiguadores de caucho.</t>
        </is>
      </c>
      <c r="F81" s="93" t="n"/>
      <c r="G81" s="1" t="n"/>
    </row>
    <row r="82" ht="27.19899999999999" customHeight="1">
      <c r="A82" s="1" t="n"/>
      <c r="B82" s="207" t="inlineStr">
        <is>
          <t>Cartucho de carbón</t>
        </is>
      </c>
      <c r="C82" s="208" t="inlineStr">
        <is>
          <t>12 × 8 × 6 centímetros, 250 gramos. Ancho de 13 a 25, fondo de 35 a 40, alto de 40 a 46.</t>
        </is>
      </c>
      <c r="D82" s="93" t="n"/>
      <c r="E82" s="209" t="inlineStr">
        <is>
          <t>Gaveta lateral que se abre sin herramientas; lo cambia el operario durante la ruta.</t>
        </is>
      </c>
      <c r="F82" s="93" t="n"/>
      <c r="G82" s="1" t="n"/>
    </row>
    <row r="83" ht="27.19899999999999" customHeight="1">
      <c r="A83" s="1" t="n"/>
      <c r="B83" s="210" t="inlineStr">
        <is>
          <t>Válvula de una sola vía</t>
        </is>
      </c>
      <c r="C83" s="211" t="inlineStr">
        <is>
          <t>30 milímetros de diámetro. Ancho 19, fondo 40 en la pared trasera, alto 62.</t>
        </is>
      </c>
      <c r="D83" s="93" t="n"/>
      <c r="E83" s="212" t="inlineStr">
        <is>
          <t>A presión en la pared trasera, con reborde para que no la tape la pared de la cocina.</t>
        </is>
      </c>
      <c r="F83" s="93" t="n"/>
      <c r="G83" s="1" t="n"/>
    </row>
    <row r="84" ht="27.19899999999999" customHeight="1">
      <c r="A84" s="1" t="n"/>
      <c r="B84" s="207" t="inlineStr">
        <is>
          <t>Cajón extraíble</t>
        </is>
      </c>
      <c r="C84" s="208" t="inlineStr">
        <is>
          <t>34 × 30 × 20 centímetros, 20 litros. Ancho de 2 a 36, fondo de 4 a 34, alto de 5 a 25.</t>
        </is>
      </c>
      <c r="D84" s="93" t="n"/>
      <c r="E84" s="209" t="inlineStr">
        <is>
          <t>Sobre rieles con rodamiento, con tope que impide sacarlo del todo por accidente.</t>
        </is>
      </c>
      <c r="F84" s="93" t="n"/>
      <c r="G84" s="1" t="n"/>
    </row>
    <row r="85" ht="27.19899999999999" customHeight="1">
      <c r="A85" s="1" t="n"/>
      <c r="B85" s="210" t="inlineStr">
        <is>
          <t>Bandeja de pesaje</t>
        </is>
      </c>
      <c r="C85" s="211" t="inlineStr">
        <is>
          <t>34 × 30 centímetros. Alto de 3 a 5, debajo del cajón.</t>
        </is>
      </c>
      <c r="D85" s="93" t="n"/>
      <c r="E85" s="212" t="inlineStr">
        <is>
          <t>Apoyada únicamente en las cuatro celdas de carga; no toca el chasis en ningún otro punto.</t>
        </is>
      </c>
      <c r="F85" s="93" t="n"/>
      <c r="G85" s="1" t="n"/>
    </row>
    <row r="86" ht="27.19899999999999" customHeight="1">
      <c r="A86" s="1" t="n"/>
      <c r="B86" s="207" t="inlineStr">
        <is>
          <t>Celdas de carga</t>
        </is>
      </c>
      <c r="C86" s="208" t="inlineStr">
        <is>
          <t>Cuatro de 3.4 × 3.4 × 0.6 centímetros, 5 kilos cada una. Una en cada esquina, alto 3.</t>
        </is>
      </c>
      <c r="D86" s="93" t="n"/>
      <c r="E86" s="209" t="inlineStr">
        <is>
          <t>Atornilladas al piso del chasis y a la bandeja.</t>
        </is>
      </c>
      <c r="F86" s="93" t="n"/>
      <c r="G86" s="1" t="n"/>
    </row>
    <row r="87" ht="27.19899999999999" customHeight="1">
      <c r="A87" s="1" t="n"/>
      <c r="B87" s="210" t="inlineStr">
        <is>
          <t>Rejilla separadora</t>
        </is>
      </c>
      <c r="C87" s="211" t="inlineStr">
        <is>
          <t>32 × 28 centímetros, patas de 3. Dentro de la bolsa, en el fondo del cajón.</t>
        </is>
      </c>
      <c r="D87" s="93" t="n"/>
      <c r="E87" s="212" t="inlineStr">
        <is>
          <t>Suelta: se saca con dos asas, se pasa a la bolsa nueva y se lava con agua.</t>
        </is>
      </c>
      <c r="F87" s="93" t="n"/>
      <c r="G87" s="1" t="n"/>
    </row>
    <row r="88" ht="27.19899999999999" customHeight="1">
      <c r="A88" s="1" t="n"/>
      <c r="B88" s="207" t="inlineStr">
        <is>
          <t>Interruptor de corte de potencia</t>
        </is>
      </c>
      <c r="C88" s="208" t="inlineStr">
        <is>
          <t>20 × 10 milímetros. Ancho 19, fondo 6, alto 64, en el marco de la tapa.</t>
        </is>
      </c>
      <c r="D88" s="93" t="n"/>
      <c r="E88" s="209" t="inlineStr">
        <is>
          <t>Va intercalado dentro del cable del motor. Si la tapa está abierta, el cable está partido.</t>
        </is>
      </c>
      <c r="F88" s="93" t="n"/>
      <c r="G88" s="1" t="n"/>
    </row>
    <row r="89" ht="27.19899999999999" customHeight="1">
      <c r="A89" s="1" t="n"/>
      <c r="B89" s="210" t="inlineStr">
        <is>
          <t>Sensor de tapa cerrada</t>
        </is>
      </c>
      <c r="C89" s="211" t="inlineStr">
        <is>
          <t>Imán de 10 milímetros y su sensor. Ancho 30, fondo 6, alto 64.</t>
        </is>
      </c>
      <c r="D89" s="93" t="n"/>
      <c r="E89" s="212" t="inlineStr">
        <is>
          <t>Imán pegado a la tapa y sensor en el marco; le avisa al control que ya puede arrancar.</t>
        </is>
      </c>
      <c r="F89" s="93" t="n"/>
      <c r="G89" s="1" t="n"/>
    </row>
    <row r="90" ht="27.19899999999999" customHeight="1">
      <c r="A90" s="1" t="n"/>
      <c r="B90" s="207" t="inlineStr">
        <is>
          <t>Sensor de cajón puesto</t>
        </is>
      </c>
      <c r="C90" s="208" t="inlineStr">
        <is>
          <t>Imán de 10 milímetros y su sensor. Ancho 36, fondo 6, alto 10.</t>
        </is>
      </c>
      <c r="D90" s="93" t="n"/>
      <c r="E90" s="209" t="inlineStr">
        <is>
          <t>Es el que dispara la puesta en cero de la báscula.</t>
        </is>
      </c>
      <c r="F90" s="93" t="n"/>
      <c r="G90" s="1" t="n"/>
    </row>
    <row r="91" ht="8" customHeight="1">
      <c r="A91" s="1" t="n"/>
      <c r="B91" s="1" t="n"/>
      <c r="C91" s="1" t="n"/>
      <c r="D91" s="1" t="n"/>
      <c r="E91" s="1" t="n"/>
      <c r="F91" s="1" t="n"/>
      <c r="G91" s="1" t="n"/>
    </row>
    <row r="92" ht="20" customHeight="1">
      <c r="A92" s="1" t="n"/>
      <c r="B92" s="23" t="inlineStr">
        <is>
          <t>Tres comprobaciones de las medidas</t>
        </is>
      </c>
      <c r="C92" s="23" t="n"/>
      <c r="D92" s="23" t="n"/>
      <c r="E92" s="23" t="n"/>
      <c r="F92" s="23" t="n"/>
      <c r="G92" s="1" t="n"/>
    </row>
    <row r="93" ht="239.363" customHeight="1">
      <c r="A93" s="1" t="n"/>
      <c r="B93" s="24" t="inlineStr">
        <is>
          <t>EL ANCHO Y EL FONDO TAMBIÉN CIERRAN
Los 38 centímetros de ancho son los 34 del cajón más 2 de pared a cada lado. Los 40 de fondo son los 30 del cajón, más los 5 de la columna de olores, más 5 repartidos entre rieles y paredes. En el piso de máquinas, los 38 de ancho se reparten en 10 de electrónica y fuente a la izquierda, 11 de motor en el centro, 6 de ducto a la derecha y 11 de holgura y nervaduras.
EL ORDEN EN QUE SE ARMA
Primero se arma el conjunto de platina, motor y cámara por fuera del mueble, que es una sola pieza que se prueba antes de entrar. Segundo se monta ese conjunto en el chasis, por arriba, y se atornilla a los refuerzos. Tercero se encastra el ducto de bajada. Cuarto se instalan a la izquierda la fuente, la caja de electrónica y la antena, y atrás el ventilador y la válvula. Quinto se ponen las celdas de carga, la bandeja y los rieles, y se calibra la báscula con una pesa patrón. Sexto se monta la tapa con su sello y se comprueban los dos interruptores de seguridad. Y por último se pone la primera bolsa, se carga el compartimento de reserva y el aparato sale a prueba. Ese orden importa porque cada paso deja accesible lo que necesita el siguiente: ninguna pieza queda atrapada detrás de otra, y todas se pueden cambiar sin desarmar el resto.
POR QUÉ EL CAJÓN ES DE 20 LITROS Y POR QUÉ SE RECOGE CADA QUINCE DÍAS
Un cajón de 20 litros carga unos 12 kilos de material molido, porque la pulpa pesa cerca de 0.6 kilos por litro. Un hogar entrega 0.46 kilos al día, es decir 6.9 kilos en quince días: el cajón llega al 58 % de su capacidad. Ese margen es deliberado, porque garantiza que ninguna familia se quede sin espacio si la ruta se atrasa unos días. La frecuencia quincenal, en lugar de semanal, es lo que permite usar la mitad de bolsas y la mitad de vehículos en la ruta domiciliaria, y es posible porque el material va molido, cubierto con material seco y con extracción de aire permanente.</t>
        </is>
      </c>
      <c r="C93" s="24" t="n"/>
      <c r="D93" s="24" t="n"/>
      <c r="E93" s="24" t="n"/>
      <c r="F93" s="24" t="n"/>
      <c r="G93" s="1" t="n"/>
    </row>
    <row r="94" ht="16" customHeight="1">
      <c r="A94" s="1" t="n"/>
      <c r="B94" s="1" t="n"/>
      <c r="C94" s="1" t="n"/>
      <c r="D94" s="1" t="n"/>
      <c r="E94" s="1" t="n"/>
      <c r="F94" s="1" t="n"/>
      <c r="G94" s="1" t="n"/>
    </row>
    <row r="95" ht="26" customHeight="1">
      <c r="A95" s="1" t="n"/>
      <c r="B95" s="88" t="inlineStr">
        <is>
          <t>5.   Cuándo falla la máquina y cuándo falla el uso</t>
        </is>
      </c>
      <c r="C95" s="88" t="n"/>
      <c r="D95" s="88" t="n"/>
      <c r="E95" s="88" t="n"/>
      <c r="F95" s="88" t="n"/>
      <c r="G95" s="1" t="n"/>
    </row>
    <row r="96" ht="49.4" customHeight="1">
      <c r="A96" s="1" t="n"/>
      <c r="B96" s="15" t="inlineStr">
        <is>
          <t>Son dos cosas distintas y conviene no confundirlas, porque se resuelven de forma distinta. Una falla de la máquina es un problema del aparato, y de eso responde el programa. Una falla de uso es que en el aparato entre algo que no debería entrar, y eso se corrige acompañando a la familia, no reparando el equipo. El aparato no puede distinguir por sí solo qué se le echa: la detección es una cadena de tres controles, y aquí se explica cuál es cada uno.</t>
        </is>
      </c>
      <c r="C96" s="15" t="n"/>
      <c r="D96" s="15" t="n"/>
      <c r="E96" s="15" t="n"/>
      <c r="F96" s="15" t="n"/>
      <c r="G96" s="1" t="n"/>
    </row>
    <row r="97" ht="30" customHeight="1">
      <c r="A97" s="1" t="n"/>
      <c r="B97" s="107" t="inlineStr">
        <is>
          <t>Tipo</t>
        </is>
      </c>
      <c r="C97" s="107" t="inlineStr">
        <is>
          <t>Qué pasa</t>
        </is>
      </c>
      <c r="D97" s="107" t="inlineStr">
        <is>
          <t>Cómo se detecta</t>
        </is>
      </c>
      <c r="E97" s="107" t="inlineStr">
        <is>
          <t>Qué se hace</t>
        </is>
      </c>
      <c r="F97" s="108" t="n"/>
      <c r="G97" s="1" t="n"/>
    </row>
    <row r="98" ht="76.81799999999998" customHeight="1">
      <c r="A98" s="1" t="n"/>
      <c r="B98" s="213" t="inlineStr">
        <is>
          <t>MÁQUINA</t>
        </is>
      </c>
      <c r="C98" s="19" t="inlineStr">
        <is>
          <t>El molino se traba con algo duro</t>
        </is>
      </c>
      <c r="D98" s="47" t="inlineStr">
        <is>
          <t>El control detecta que el motor consume más corriente de lo normal, invierte el giro hasta tres veces para soltar el pedazo y, si no lo logra, se apaga y enciende una luz ámbar.</t>
        </is>
      </c>
      <c r="E98" s="20" t="inlineStr">
        <is>
          <t>El aparato queda bloqueado hasta que el operario lo libere. La familia no pierde puntos.</t>
        </is>
      </c>
      <c r="F98" s="93" t="n"/>
      <c r="G98" s="1" t="n"/>
    </row>
    <row r="99" ht="60.5635" customHeight="1">
      <c r="A99" s="1" t="n"/>
      <c r="B99" s="214" t="inlineStr">
        <is>
          <t>MÁQUINA</t>
        </is>
      </c>
      <c r="C99" s="21" t="inlineStr">
        <is>
          <t>El aparato deja de avisar</t>
        </is>
      </c>
      <c r="D99" s="49" t="inlineStr">
        <is>
          <t>La plataforma detecta que un aparato lleva más de quince días sin reportar y lo marca en el mapa de la ruta.</t>
        </is>
      </c>
      <c r="E99" s="22" t="inlineStr">
        <is>
          <t>El operario lo revisa en la siguiente visita. Casi siempre es el cable desconectado.</t>
        </is>
      </c>
      <c r="F99" s="93" t="n"/>
      <c r="G99" s="1" t="n"/>
    </row>
    <row r="100" ht="44.309" customHeight="1">
      <c r="A100" s="1" t="n"/>
      <c r="B100" s="213" t="inlineStr">
        <is>
          <t>MÁQUINA</t>
        </is>
      </c>
      <c r="C100" s="19" t="inlineStr">
        <is>
          <t>Empieza a oler</t>
        </is>
      </c>
      <c r="D100" s="47" t="inlineStr">
        <is>
          <t>Casi siempre es el cartucho de carbón saturado o el empaque de la tapa vencido.</t>
        </is>
      </c>
      <c r="E100" s="20" t="inlineStr">
        <is>
          <t>Se cambian en sitio, en menos de cinco minutos, y sin costo.</t>
        </is>
      </c>
      <c r="F100" s="93" t="n"/>
      <c r="G100" s="1" t="n"/>
    </row>
    <row r="101" ht="93.07249999999999" customHeight="1">
      <c r="A101" s="1" t="n"/>
      <c r="B101" s="39" t="inlineStr">
        <is>
          <t>USO</t>
        </is>
      </c>
      <c r="C101" s="21" t="inlineStr">
        <is>
          <t>Entra material inorgánico: plástico, vidrio, metal o pilas</t>
        </is>
      </c>
      <c r="D101" s="49" t="inlineStr">
        <is>
          <t>Se detecta de tres maneras. El propio aparato se traba y avisa si el objeto es duro. El operario revisa la bolsa a simple vista al cambiarla. Y en la planta cada lote pasa por una banda de selección antes de entrar a la pila.</t>
        </is>
      </c>
      <c r="E101" s="22" t="inlineStr">
        <is>
          <t>Primera vez: advertencia y visita del gestor social, porque la mayoria de los casos son por desconocimiento. Si reincide, baja la tasa de puntos hasta que mejore. Si un lote se contamina de forma grave, por ejemplo con vidrio molido, el hogar responsable pierde el incentivo de ese mes.</t>
        </is>
      </c>
      <c r="F101" s="93" t="n"/>
      <c r="G101" s="1" t="n"/>
    </row>
    <row r="102" ht="60.5635" customHeight="1">
      <c r="A102" s="1" t="n"/>
      <c r="B102" s="35" t="inlineStr">
        <is>
          <t>USO</t>
        </is>
      </c>
      <c r="C102" s="19" t="inlineStr">
        <is>
          <t>Entra demasiado líquido: caldos, aceite o sopa</t>
        </is>
      </c>
      <c r="D102" s="47" t="inlineStr">
        <is>
          <t>La rejilla separadora deja el líquido libre en el sumidero del fondo y el operario lo ve al cambiar la bolsa.</t>
        </is>
      </c>
      <c r="E102" s="20" t="inlineStr">
        <is>
          <t>Se explica a la familia que el caldo se escurre antes. No hay sanción: es el error más común y el más fácil de corregir.</t>
        </is>
      </c>
      <c r="F102" s="93" t="n"/>
      <c r="G102" s="1" t="n"/>
    </row>
    <row r="103" ht="44.309" customHeight="1">
      <c r="A103" s="1" t="n"/>
      <c r="B103" s="39" t="inlineStr">
        <is>
          <t>USO</t>
        </is>
      </c>
      <c r="C103" s="21" t="inlineStr">
        <is>
          <t>El hogar deja de usar el aparato</t>
        </is>
      </c>
      <c r="D103" s="49" t="inlineStr">
        <is>
          <t>La báscula reporta cero kilos durante dos recolecciones seguidas.</t>
        </is>
      </c>
      <c r="E103" s="22" t="inlineStr">
        <is>
          <t>Visita del gestor social para entender por que. La evidencia internacional dice que la causa suele ser una falla no reportada o un cambio en la familia, no falta de voluntad.</t>
        </is>
      </c>
      <c r="F103" s="93" t="n"/>
      <c r="G103" s="1" t="n"/>
    </row>
    <row r="104" ht="60.5635" customHeight="1">
      <c r="A104" s="1" t="n"/>
      <c r="B104" s="35" t="inlineStr">
        <is>
          <t>USO</t>
        </is>
      </c>
      <c r="C104" s="19" t="inlineStr">
        <is>
          <t>Un establecimiento mezcla residuo no orgánico</t>
        </is>
      </c>
      <c r="D104" s="47" t="inlineStr">
        <is>
          <t>El contenedor se pesa y se inspecciona al recogerlo, y cada entrega queda registrada con foto.</t>
        </is>
      </c>
      <c r="E104" s="20" t="inlineStr">
        <is>
          <t>Primera vez: acta y capacitación al personal de cocina. Si reincide, se cobra el sobrecosto de selección del lote. Al tercer incumplimiento se termina el contrato, porque un lote contaminado arruina la producción de varias semanas.</t>
        </is>
      </c>
      <c r="F104" s="93" t="n"/>
      <c r="G104" s="1" t="n"/>
    </row>
    <row r="105" ht="8" customHeight="1">
      <c r="A105" s="1" t="n"/>
      <c r="B105" s="1" t="n"/>
      <c r="C105" s="1" t="n"/>
      <c r="D105" s="1" t="n"/>
      <c r="E105" s="1" t="n"/>
      <c r="F105" s="1" t="n"/>
      <c r="G105" s="1" t="n"/>
    </row>
    <row r="106" ht="20" customHeight="1">
      <c r="A106" s="1" t="n"/>
      <c r="B106" s="16" t="inlineStr">
        <is>
          <t>Cómo se evita que entre lo que no debe</t>
        </is>
      </c>
      <c r="C106" s="16" t="n"/>
      <c r="D106" s="16" t="n"/>
      <c r="E106" s="16" t="n"/>
      <c r="F106" s="16" t="n"/>
      <c r="G106" s="1" t="n"/>
    </row>
    <row r="107" ht="239.363" customHeight="1">
      <c r="A107" s="1" t="n"/>
      <c r="B107" s="203" t="inlineStr">
        <is>
          <t>LOS TRES CONTROLES QUE IMPIDEN QUE UN LOTE SE ARRUINE
Primero, el propio aparato: si entra metal, vidrio grueso o piedra, el disco se traba, el control detecta la sobrecarga de corriente, invierte el giro tres veces y se apaga con una luz ámbar. Es un control automático pero solo funciona con objetos duros.
Segundo, el operario: cada quince días abre el cajón para cambiar la bolsa, y en ese momento ve el contenido. Es el control más importante, porque es visual, ocurre casa por casa y queda registrado en la aplicación del operario con foto cuando hay hallazgo.
Tercero, la planta: todo el material pasa por una banda de selección antes de entrar a la pila de compostaje. Es el último filtro y el más costoso, porque lo que llega ahí ya viajó en el camión.
POR QUÉ IMPORTA TANTO
Un lote contaminado no se puede corregir después. Si entra vidrio molido o plástico, el compost no cumple la norma NTC 5167, no obtiene el registro del ICA y no se puede vender legalmente. Una sola casa puede arruinar la producción de una semana, y por eso el control empieza en la cocina y no en la planta.
QUÉ SE LE DICE A LA FAMILIA
La regla es de una sola frase: al aparato entra solo lo que se pudre. Cáscaras, sobras, café, huesos pequeños, servilletas sucias. No entra vidrio, metal, plástico, pilas, colillas, pañales ni huesos grandes de res. Esa lista va impresa en la tapa del aparato y en el imán que se entrega para la nevera.</t>
        </is>
      </c>
      <c r="C107" s="203" t="n"/>
      <c r="D107" s="203" t="n"/>
      <c r="E107" s="203" t="n"/>
      <c r="F107" s="203" t="n"/>
      <c r="G107" s="1" t="n"/>
    </row>
    <row r="108" ht="8" customHeight="1">
      <c r="A108" s="1" t="n"/>
      <c r="B108" s="1" t="n"/>
      <c r="C108" s="1" t="n"/>
      <c r="D108" s="1" t="n"/>
      <c r="E108" s="1" t="n"/>
      <c r="F108" s="1" t="n"/>
      <c r="G108" s="1" t="n"/>
    </row>
    <row r="109" ht="20" customHeight="1">
      <c r="A109" s="1" t="n"/>
      <c r="B109" s="23" t="inlineStr">
        <is>
          <t>Dónde está la política de garantía</t>
        </is>
      </c>
      <c r="C109" s="23" t="n"/>
      <c r="D109" s="23" t="n"/>
      <c r="E109" s="23" t="n"/>
      <c r="F109" s="23" t="n"/>
      <c r="G109" s="1" t="n"/>
    </row>
    <row r="110" ht="44.309" customHeight="1">
      <c r="A110" s="1" t="n"/>
      <c r="B110" s="24" t="inlineStr">
        <is>
          <t>La política completa de garantía, reposición y qué cuesta cada situación está en la sección 8.3 de la hoja de Costeo Financiero, junto con el dinero que está reservado para atenderla: 360 aparatos domésticos y 10 comerciales en inventario, más un rubro anual de reposición y reparación.</t>
        </is>
      </c>
      <c r="C110" s="24" t="n"/>
      <c r="D110" s="24" t="n"/>
      <c r="E110" s="24" t="n"/>
      <c r="F110" s="24" t="n"/>
      <c r="G110" s="1" t="n"/>
    </row>
    <row r="111" ht="16" customHeight="1">
      <c r="A111" s="1" t="n"/>
      <c r="B111" s="1" t="n"/>
      <c r="C111" s="1" t="n"/>
      <c r="D111" s="1" t="n"/>
      <c r="E111" s="1" t="n"/>
      <c r="F111" s="1" t="n"/>
      <c r="G111" s="1" t="n"/>
    </row>
    <row r="112" ht="26" customHeight="1">
      <c r="A112" s="1" t="n"/>
      <c r="B112" s="69" t="inlineStr">
        <is>
          <t>6.   Cuánto cuesta el modelo HOGAR</t>
        </is>
      </c>
      <c r="C112" s="69" t="n"/>
      <c r="D112" s="69" t="n"/>
      <c r="E112" s="69" t="n"/>
      <c r="F112" s="69" t="n"/>
      <c r="G112" s="1" t="n"/>
    </row>
    <row r="113" ht="44.309" customHeight="1">
      <c r="A113" s="1" t="n"/>
      <c r="B113" s="118" t="inlineStr">
        <is>
          <t>Las piezas agrupadas por función, con lo que cuesta cada grupo en un pedido de 10,000 unidades, que es la escala prevista para este modelo. Debajo del despiece van los costos de fabricación, que son los que convierten un montón de piezas sueltas en un aparato instalado y funcionando.</t>
        </is>
      </c>
      <c r="C113" s="118" t="n"/>
      <c r="D113" s="118" t="n"/>
      <c r="E113" s="118" t="n"/>
      <c r="F113" s="118" t="n"/>
      <c r="G113" s="1" t="n"/>
    </row>
    <row r="114" ht="30" customHeight="1">
      <c r="A114" s="1" t="n"/>
      <c r="B114" s="145" t="inlineStr">
        <is>
          <t>Parte del aparato</t>
        </is>
      </c>
      <c r="C114" s="145" t="inlineStr">
        <is>
          <t>Qué incluye</t>
        </is>
      </c>
      <c r="D114" s="145" t="inlineStr">
        <is>
          <t>Costo por aparato</t>
        </is>
      </c>
      <c r="E114" s="145" t="inlineStr">
        <is>
          <t>Cuántas piezas</t>
        </is>
      </c>
      <c r="F114" s="146" t="n"/>
      <c r="G114" s="1" t="n"/>
    </row>
    <row r="115" ht="44.309" customHeight="1">
      <c r="A115" s="1" t="n"/>
      <c r="B115" s="19" t="inlineStr">
        <is>
          <t>A. Molido</t>
        </is>
      </c>
      <c r="C115" s="20" t="inlineStr">
        <is>
          <t>El motor, la cámara, el disco, el anillo de corte, el eje y los sellos.</t>
        </is>
      </c>
      <c r="D115" s="27" t="n">
        <v>89280</v>
      </c>
      <c r="E115" s="215" t="inlineStr">
        <is>
          <t>3 piezas</t>
        </is>
      </c>
      <c r="F115" s="93" t="n"/>
      <c r="G115" s="1" t="n"/>
    </row>
    <row r="116" ht="44.309" customHeight="1">
      <c r="A116" s="1" t="n"/>
      <c r="B116" s="21" t="inlineStr">
        <is>
          <t>B. Cuerpo</t>
        </is>
      </c>
      <c r="C116" s="22" t="inlineStr">
        <is>
          <t>El chasis de diseño propio, la tapa, la bisagra, el empaque y la válvula de venteo.</t>
        </is>
      </c>
      <c r="D116" s="28" t="n">
        <v>32240</v>
      </c>
      <c r="E116" s="216" t="inlineStr">
        <is>
          <t>5 piezas</t>
        </is>
      </c>
      <c r="F116" s="93" t="n"/>
      <c r="G116" s="1" t="n"/>
    </row>
    <row r="117" ht="44.309" customHeight="1">
      <c r="A117" s="1" t="n"/>
      <c r="B117" s="19" t="inlineStr">
        <is>
          <t>C. Cajón y sistema de bolsas</t>
        </is>
      </c>
      <c r="C117" s="20" t="inlineStr">
        <is>
          <t>El cajón de 20 litros con su rejilla, el reborde donde encaja la bolsa y el paquete inicial de reserva.</t>
        </is>
      </c>
      <c r="D117" s="27" t="n">
        <v>15655</v>
      </c>
      <c r="E117" s="215" t="inlineStr">
        <is>
          <t>3 piezas</t>
        </is>
      </c>
      <c r="F117" s="93" t="n"/>
      <c r="G117" s="1" t="n"/>
    </row>
    <row r="118" ht="44.309" customHeight="1">
      <c r="A118" s="1" t="n"/>
      <c r="B118" s="21" t="inlineStr">
        <is>
          <t>D. Control de olores</t>
        </is>
      </c>
      <c r="C118" s="22" t="inlineStr">
        <is>
          <t>El cartucho de carbón, el ventilador de extracción y el dosificador de material seco.</t>
        </is>
      </c>
      <c r="D118" s="28" t="n">
        <v>10075</v>
      </c>
      <c r="E118" s="216" t="inlineStr">
        <is>
          <t>3 piezas</t>
        </is>
      </c>
      <c r="F118" s="93" t="n"/>
      <c r="G118" s="1" t="n"/>
    </row>
    <row r="119" ht="44.309" customHeight="1">
      <c r="A119" s="1" t="n"/>
      <c r="B119" s="19" t="inlineStr">
        <is>
          <t>E. Seguridad</t>
        </is>
      </c>
      <c r="C119" s="20" t="inlineStr">
        <is>
          <t>El interruptor que corta la corriente al abrir la tapa, el sensor y el deflector.</t>
        </is>
      </c>
      <c r="D119" s="27" t="n">
        <v>2511</v>
      </c>
      <c r="E119" s="215" t="inlineStr">
        <is>
          <t>3 piezas</t>
        </is>
      </c>
      <c r="F119" s="93" t="n"/>
      <c r="G119" s="1" t="n"/>
    </row>
    <row r="120" ht="44.309" customHeight="1">
      <c r="A120" s="1" t="n"/>
      <c r="B120" s="21" t="inlineStr">
        <is>
          <t>F. Electrónica</t>
        </is>
      </c>
      <c r="C120" s="22" t="inlineStr">
        <is>
          <t>El control, la radio, la antena, la báscula, la etapa de potencia y la fuente.</t>
        </is>
      </c>
      <c r="D120" s="28" t="n">
        <v>52018</v>
      </c>
      <c r="E120" s="216" t="inlineStr">
        <is>
          <t>8 piezas</t>
        </is>
      </c>
      <c r="F120" s="93" t="n"/>
      <c r="G120" s="1" t="n"/>
    </row>
    <row r="121" ht="44.309" customHeight="1">
      <c r="A121" s="1" t="n"/>
      <c r="B121" s="19" t="inlineStr">
        <is>
          <t>G. Identificación y entrega</t>
        </is>
      </c>
      <c r="C121" s="20" t="inlineStr">
        <is>
          <t>El carné del hogar con chip, la placa de serie y el empaque con manual.</t>
        </is>
      </c>
      <c r="D121" s="27" t="n">
        <v>6262</v>
      </c>
      <c r="E121" s="215" t="inlineStr">
        <is>
          <t>3 piezas</t>
        </is>
      </c>
      <c r="F121" s="93" t="n"/>
      <c r="G121" s="1" t="n"/>
    </row>
    <row r="122" ht="28.0545" customHeight="1">
      <c r="A122" s="1" t="n"/>
      <c r="B122" s="217" t="inlineStr">
        <is>
          <t>Subtotal · las piezas del aparato</t>
        </is>
      </c>
      <c r="C122" s="102" t="inlineStr"/>
      <c r="D122" s="132">
        <f>SUM(D115:D121)</f>
        <v/>
      </c>
      <c r="E122" s="218" t="inlineStr">
        <is>
          <t>28 piezas en total</t>
        </is>
      </c>
      <c r="F122" s="93" t="n"/>
      <c r="G122" s="1" t="n"/>
    </row>
    <row r="123" ht="44.309" customHeight="1">
      <c r="A123" s="1" t="n"/>
      <c r="B123" s="19" t="inlineStr">
        <is>
          <t>Armado en Colombia</t>
        </is>
      </c>
      <c r="C123" s="20" t="inlineStr">
        <is>
          <t>Ensamble y pruebas en un taller de Bogotá. Genera empleo local y permite reparar el producto en el país.</t>
        </is>
      </c>
      <c r="D123" s="27" t="n">
        <v>11780</v>
      </c>
      <c r="E123" s="215" t="inlineStr"/>
      <c r="F123" s="93" t="n"/>
      <c r="G123" s="1" t="n"/>
    </row>
    <row r="124" ht="44.309" customHeight="1">
      <c r="A124" s="1" t="n"/>
      <c r="B124" s="21" t="inlineStr">
        <is>
          <t>Piezas dañadas y garantía</t>
        </is>
      </c>
      <c r="C124" s="22" t="inlineStr">
        <is>
          <t>Reserva por las unidades que salen defectuosas y por la garantía del primer año.</t>
        </is>
      </c>
      <c r="D124" s="28" t="n">
        <v>8866</v>
      </c>
      <c r="E124" s="216" t="inlineStr"/>
      <c r="F124" s="93" t="n"/>
      <c r="G124" s="1" t="n"/>
    </row>
    <row r="125" ht="44.309" customHeight="1">
      <c r="A125" s="1" t="n"/>
      <c r="B125" s="19" t="inlineStr">
        <is>
          <t>Molde del chasis y de la tapa</t>
        </is>
      </c>
      <c r="C125" s="20" t="inlineStr">
        <is>
          <t>El molde se paga una sola vez y se reparte entre todas las unidades del pedido.</t>
        </is>
      </c>
      <c r="D125" s="27" t="n">
        <v>8680</v>
      </c>
      <c r="E125" s="215" t="inlineStr"/>
      <c r="F125" s="93" t="n"/>
      <c r="G125" s="1" t="n"/>
    </row>
    <row r="126" ht="44.309" customHeight="1">
      <c r="A126" s="1" t="n"/>
      <c r="B126" s="21" t="inlineStr">
        <is>
          <t>Certificación eléctrica RETIE</t>
        </is>
      </c>
      <c r="C126" s="22" t="inlineStr">
        <is>
          <t>Más cara que la del modelo del hogar porque se certifica como maquinaria y no como electrodoméstico.</t>
        </is>
      </c>
      <c r="D126" s="28" t="n">
        <v>1457</v>
      </c>
      <c r="E126" s="216" t="inlineStr"/>
      <c r="F126" s="93" t="n"/>
      <c r="G126" s="1" t="n"/>
    </row>
    <row r="127" ht="44.309" customHeight="1">
      <c r="A127" s="1" t="n"/>
      <c r="B127" s="19" t="inlineStr">
        <is>
          <t>Traer las piezas importadas</t>
        </is>
      </c>
      <c r="C127" s="20" t="inlineStr">
        <is>
          <t>Flete, seguro y nacionalización de los componentes de origen externo.</t>
        </is>
      </c>
      <c r="D127" s="27" t="n">
        <v>14880</v>
      </c>
      <c r="E127" s="215" t="inlineStr"/>
      <c r="F127" s="93" t="n"/>
      <c r="G127" s="1" t="n"/>
    </row>
    <row r="128" ht="28.0545" customHeight="1">
      <c r="A128" s="1" t="n"/>
      <c r="B128" s="21" t="inlineStr">
        <is>
          <t>Llevarlo e instalarlo</t>
        </is>
      </c>
      <c r="C128" s="22" t="inlineStr">
        <is>
          <t>Transporte hasta la casa e instalación con la familia.</t>
        </is>
      </c>
      <c r="D128" s="28" t="n">
        <v>4340</v>
      </c>
      <c r="E128" s="216" t="inlineStr"/>
      <c r="F128" s="93" t="n"/>
      <c r="G128" s="1" t="n"/>
    </row>
    <row r="129" ht="27.19899999999999" customHeight="1">
      <c r="A129" s="1" t="n"/>
      <c r="B129" s="154" t="inlineStr">
        <is>
          <t>COSTO TOTAL DE UN APARATO PUESTO Y FUNCIONANDO</t>
        </is>
      </c>
      <c r="C129" s="155" t="n"/>
      <c r="D129" s="156">
        <f>D122+SUM(D123:D128)</f>
        <v/>
      </c>
      <c r="E129" s="157" t="inlineStr">
        <is>
          <t>Es el valor que se multiplica en la inversión de la hoja 4.</t>
        </is>
      </c>
      <c r="F129" s="155" t="n"/>
      <c r="G129" s="1" t="n"/>
    </row>
    <row r="130" ht="16" customHeight="1">
      <c r="A130" s="1" t="n"/>
      <c r="B130" s="1" t="n"/>
      <c r="C130" s="1" t="n"/>
      <c r="D130" s="1" t="n"/>
      <c r="E130" s="1" t="n"/>
      <c r="F130" s="1" t="n"/>
      <c r="G130" s="1" t="n"/>
    </row>
    <row r="131" ht="26" customHeight="1">
      <c r="A131" s="1" t="n"/>
      <c r="B131" s="83" t="inlineStr">
        <is>
          <t>7.   Cuánto cuesta el modelo ESTABLECIMIENTO</t>
        </is>
      </c>
      <c r="C131" s="83" t="n"/>
      <c r="D131" s="83" t="n"/>
      <c r="E131" s="83" t="n"/>
      <c r="F131" s="83" t="n"/>
      <c r="G131" s="1" t="n"/>
    </row>
    <row r="132" ht="44.309" customHeight="1">
      <c r="A132" s="1" t="n"/>
      <c r="B132" s="118" t="inlineStr">
        <is>
          <t>Las piezas agrupadas por función, con lo que cuesta cada grupo en un pedido de 200 unidades, que es la escala prevista para este modelo. Debajo del despiece van los costos de fabricación, que son los que convierten un montón de piezas sueltas en un aparato instalado y funcionando.</t>
        </is>
      </c>
      <c r="C132" s="118" t="n"/>
      <c r="D132" s="118" t="n"/>
      <c r="E132" s="118" t="n"/>
      <c r="F132" s="118" t="n"/>
      <c r="G132" s="1" t="n"/>
    </row>
    <row r="133" ht="30" customHeight="1">
      <c r="A133" s="1" t="n"/>
      <c r="B133" s="171" t="inlineStr">
        <is>
          <t>Parte del aparato</t>
        </is>
      </c>
      <c r="C133" s="171" t="inlineStr">
        <is>
          <t>Qué incluye</t>
        </is>
      </c>
      <c r="D133" s="171" t="inlineStr">
        <is>
          <t>Costo por aparato</t>
        </is>
      </c>
      <c r="E133" s="171" t="inlineStr">
        <is>
          <t>Cuántas piezas</t>
        </is>
      </c>
      <c r="F133" s="172" t="n"/>
      <c r="G133" s="1" t="n"/>
    </row>
    <row r="134" ht="44.309" customHeight="1">
      <c r="A134" s="1" t="n"/>
      <c r="B134" s="19" t="inlineStr">
        <is>
          <t>A. Molido</t>
        </is>
      </c>
      <c r="C134" s="20" t="inlineStr">
        <is>
          <t>El motor de 1.1 kilovatios, la cámara de 35 centímetros y el eje reforzado.</t>
        </is>
      </c>
      <c r="D134" s="27" t="n">
        <v>837000</v>
      </c>
      <c r="E134" s="215" t="inlineStr">
        <is>
          <t>3 piezas</t>
        </is>
      </c>
      <c r="F134" s="93" t="n"/>
      <c r="G134" s="1" t="n"/>
    </row>
    <row r="135" ht="44.309" customHeight="1">
      <c r="A135" s="1" t="n"/>
      <c r="B135" s="21" t="inlineStr">
        <is>
          <t>B. Cuerpo</t>
        </is>
      </c>
      <c r="C135" s="22" t="inlineStr">
        <is>
          <t>El chasis de acero inoxidable, la tapa con amortiguadores y cierre con llave, y las ruedas con freno.</t>
        </is>
      </c>
      <c r="D135" s="28" t="n">
        <v>765700</v>
      </c>
      <c r="E135" s="216" t="inlineStr">
        <is>
          <t>4 piezas</t>
        </is>
      </c>
      <c r="F135" s="93" t="n"/>
      <c r="G135" s="1" t="n"/>
    </row>
    <row r="136" ht="44.309" customHeight="1">
      <c r="A136" s="1" t="n"/>
      <c r="B136" s="19" t="inlineStr">
        <is>
          <t>C. Contenedor</t>
        </is>
      </c>
      <c r="C136" s="20" t="inlineStr">
        <is>
          <t>El contenedor rodante de 240 litros y el riel que lo alinea y lo traba.</t>
        </is>
      </c>
      <c r="D136" s="27" t="n">
        <v>282100</v>
      </c>
      <c r="E136" s="215" t="inlineStr">
        <is>
          <t>2 piezas</t>
        </is>
      </c>
      <c r="F136" s="93" t="n"/>
      <c r="G136" s="1" t="n"/>
    </row>
    <row r="137" ht="44.309" customHeight="1">
      <c r="A137" s="1" t="n"/>
      <c r="B137" s="21" t="inlineStr">
        <is>
          <t>D. Control de olores</t>
        </is>
      </c>
      <c r="C137" s="22" t="inlineStr">
        <is>
          <t>El cartucho de 1.5 kilos, el ventilador de 40 metros cúbicos y el dosificador automático.</t>
        </is>
      </c>
      <c r="D137" s="28" t="n">
        <v>176700</v>
      </c>
      <c r="E137" s="216" t="inlineStr">
        <is>
          <t>3 piezas</t>
        </is>
      </c>
      <c r="F137" s="93" t="n"/>
      <c r="G137" s="1" t="n"/>
    </row>
    <row r="138" ht="44.309" customHeight="1">
      <c r="A138" s="1" t="n"/>
      <c r="B138" s="19" t="inlineStr">
        <is>
          <t>E. Seguridad</t>
        </is>
      </c>
      <c r="C138" s="20" t="inlineStr">
        <is>
          <t>El doble interruptor en serie, la parada de emergencia y la reja fija sobre la boca.</t>
        </is>
      </c>
      <c r="D138" s="27" t="n">
        <v>96100</v>
      </c>
      <c r="E138" s="215" t="inlineStr">
        <is>
          <t>3 piezas</t>
        </is>
      </c>
      <c r="F138" s="93" t="n"/>
      <c r="G138" s="1" t="n"/>
    </row>
    <row r="139" ht="44.309" customHeight="1">
      <c r="A139" s="1" t="n"/>
      <c r="B139" s="21" t="inlineStr">
        <is>
          <t>F. Electrónica</t>
        </is>
      </c>
      <c r="C139" s="22" t="inlineStr">
        <is>
          <t>El control, la radio, la antena externa, la báscula de 300 kilos, el arrancador y el tablero eléctrico.</t>
        </is>
      </c>
      <c r="D139" s="28" t="n">
        <v>536145</v>
      </c>
      <c r="E139" s="216" t="inlineStr">
        <is>
          <t>8 piezas</t>
        </is>
      </c>
      <c r="F139" s="93" t="n"/>
      <c r="G139" s="1" t="n"/>
    </row>
    <row r="140" ht="44.309" customHeight="1">
      <c r="A140" s="1" t="n"/>
      <c r="B140" s="19" t="inlineStr">
        <is>
          <t>G. Identificación y entrega</t>
        </is>
      </c>
      <c r="C140" s="20" t="inlineStr">
        <is>
          <t>La placa de serie, la señalización de riesgo, el manual y la capacitación.</t>
        </is>
      </c>
      <c r="D140" s="27" t="n">
        <v>117800</v>
      </c>
      <c r="E140" s="215" t="inlineStr">
        <is>
          <t>2 piezas</t>
        </is>
      </c>
      <c r="F140" s="93" t="n"/>
      <c r="G140" s="1" t="n"/>
    </row>
    <row r="141" ht="28.0545" customHeight="1">
      <c r="A141" s="1" t="n"/>
      <c r="B141" s="219" t="inlineStr">
        <is>
          <t>Subtotal · las piezas del aparato</t>
        </is>
      </c>
      <c r="C141" s="220" t="inlineStr"/>
      <c r="D141" s="221">
        <f>SUM(D134:D140)</f>
        <v/>
      </c>
      <c r="E141" s="222" t="inlineStr">
        <is>
          <t>25 piezas en total</t>
        </is>
      </c>
      <c r="F141" s="93" t="n"/>
      <c r="G141" s="1" t="n"/>
    </row>
    <row r="142" ht="44.309" customHeight="1">
      <c r="A142" s="1" t="n"/>
      <c r="B142" s="19" t="inlineStr">
        <is>
          <t>Armado en Colombia</t>
        </is>
      </c>
      <c r="C142" s="20" t="inlineStr">
        <is>
          <t>Ensamble y pruebas en un taller de Bogotá. Genera empleo local y permite reparar el producto en el país.</t>
        </is>
      </c>
      <c r="D142" s="27" t="n">
        <v>241800</v>
      </c>
      <c r="E142" s="215" t="inlineStr"/>
      <c r="F142" s="93" t="n"/>
      <c r="G142" s="1" t="n"/>
    </row>
    <row r="143" ht="44.309" customHeight="1">
      <c r="A143" s="1" t="n"/>
      <c r="B143" s="21" t="inlineStr">
        <is>
          <t>Piezas dañadas y garantía</t>
        </is>
      </c>
      <c r="C143" s="22" t="inlineStr">
        <is>
          <t>Reserva por las unidades que salen defectuosas y por la garantía del primer año.</t>
        </is>
      </c>
      <c r="D143" s="28" t="n">
        <v>133300</v>
      </c>
      <c r="E143" s="216" t="inlineStr"/>
      <c r="F143" s="93" t="n"/>
      <c r="G143" s="1" t="n"/>
    </row>
    <row r="144" ht="44.309" customHeight="1">
      <c r="A144" s="1" t="n"/>
      <c r="B144" s="19" t="inlineStr">
        <is>
          <t>Utillaje de doblado y soldadura</t>
        </is>
      </c>
      <c r="C144" s="20" t="inlineStr">
        <is>
          <t>Matrices y plantillas. Cuesta mucho menos que un molde de rotomoldeo, y por eso a este volumen conviene el acero.</t>
        </is>
      </c>
      <c r="D144" s="27" t="n">
        <v>139500</v>
      </c>
      <c r="E144" s="215" t="inlineStr"/>
      <c r="F144" s="93" t="n"/>
      <c r="G144" s="1" t="n"/>
    </row>
    <row r="145" ht="44.309" customHeight="1">
      <c r="A145" s="1" t="n"/>
      <c r="B145" s="21" t="inlineStr">
        <is>
          <t>Certificación eléctrica RETIE</t>
        </is>
      </c>
      <c r="C145" s="22" t="inlineStr">
        <is>
          <t>Más cara que la del modelo del hogar porque se certifica como maquinaria y no como electrodoméstico.</t>
        </is>
      </c>
      <c r="D145" s="28" t="n">
        <v>161200</v>
      </c>
      <c r="E145" s="216" t="inlineStr"/>
      <c r="F145" s="93" t="n"/>
      <c r="G145" s="1" t="n"/>
    </row>
    <row r="146" ht="44.309" customHeight="1">
      <c r="A146" s="1" t="n"/>
      <c r="B146" s="19" t="inlineStr">
        <is>
          <t>Traer las piezas importadas</t>
        </is>
      </c>
      <c r="C146" s="20" t="inlineStr">
        <is>
          <t>Flete, seguro y nacionalización de los componentes de origen externo.</t>
        </is>
      </c>
      <c r="D146" s="27" t="n">
        <v>142600</v>
      </c>
      <c r="E146" s="215" t="inlineStr"/>
      <c r="F146" s="93" t="n"/>
      <c r="G146" s="1" t="n"/>
    </row>
    <row r="147" ht="28.0545" customHeight="1">
      <c r="A147" s="1" t="n"/>
      <c r="B147" s="21" t="inlineStr">
        <is>
          <t>Llevarlo e instalarlo</t>
        </is>
      </c>
      <c r="C147" s="22" t="inlineStr">
        <is>
          <t>Transporte hasta la casa e instalación con la familia.</t>
        </is>
      </c>
      <c r="D147" s="28" t="n">
        <v>223200</v>
      </c>
      <c r="E147" s="216" t="inlineStr"/>
      <c r="F147" s="93" t="n"/>
      <c r="G147" s="1" t="n"/>
    </row>
    <row r="148" ht="27.19899999999999" customHeight="1">
      <c r="A148" s="1" t="n"/>
      <c r="B148" s="175" t="inlineStr">
        <is>
          <t>COSTO TOTAL DE UN APARATO PUESTO Y FUNCIONANDO</t>
        </is>
      </c>
      <c r="C148" s="176" t="n"/>
      <c r="D148" s="177">
        <f>D141+SUM(D142:D147)</f>
        <v/>
      </c>
      <c r="E148" s="178" t="inlineStr">
        <is>
          <t>Es el valor que se multiplica en la inversión de la hoja 4.</t>
        </is>
      </c>
      <c r="F148" s="176" t="n"/>
      <c r="G148" s="1" t="n"/>
    </row>
    <row r="149" ht="16" customHeight="1">
      <c r="A149" s="1" t="n"/>
      <c r="B149" s="1" t="n"/>
      <c r="C149" s="1" t="n"/>
      <c r="D149" s="1" t="n"/>
      <c r="E149" s="1" t="n"/>
      <c r="F149" s="1" t="n"/>
      <c r="G149" s="1" t="n"/>
    </row>
    <row r="150" ht="26" customHeight="1">
      <c r="A150" s="1" t="n"/>
      <c r="B150" s="84" t="inlineStr">
        <is>
          <t>8.   En cuánto se vendería cada modelo</t>
        </is>
      </c>
      <c r="C150" s="84" t="n"/>
      <c r="D150" s="84" t="n"/>
      <c r="E150" s="84" t="n"/>
      <c r="F150" s="84" t="n"/>
      <c r="G150" s="1" t="n"/>
    </row>
    <row r="151" ht="49.4" customHeight="1">
      <c r="A151" s="1" t="n"/>
      <c r="B151" s="15" t="inlineStr">
        <is>
          <t>Dentro del programa los aparatos se entregan sin costo para el usuario, financiados por el Distrito o por empresas patrocinadoras. Pero el equipo también puede venderse por fuera del programa, y conviene saber a cuánto: de eso depende que el proyecto tenga una vía de ingresos propia en el futuro, y es además la prueba de que el costo de fabricación es razonable.</t>
        </is>
      </c>
      <c r="C151" s="15" t="n"/>
      <c r="D151" s="15" t="n"/>
      <c r="E151" s="15" t="n"/>
      <c r="F151" s="15" t="n"/>
      <c r="G151" s="1" t="n"/>
    </row>
    <row r="152" ht="30" customHeight="1">
      <c r="A152" s="1" t="n"/>
      <c r="B152" s="90" t="inlineStr">
        <is>
          <t>Concepto</t>
        </is>
      </c>
      <c r="C152" s="90" t="inlineStr">
        <is>
          <t>MODELO HOGAR</t>
        </is>
      </c>
      <c r="D152" s="91" t="n"/>
      <c r="E152" s="90" t="inlineStr">
        <is>
          <t>MODELO ESTABLECIMIENTO</t>
        </is>
      </c>
      <c r="F152" s="91" t="n"/>
      <c r="G152" s="1" t="n"/>
    </row>
    <row r="153" ht="28.0545" customHeight="1">
      <c r="A153" s="1" t="n"/>
      <c r="B153" s="162" t="inlineStr">
        <is>
          <t>Costo de fabricarlo e instalarlo</t>
        </is>
      </c>
      <c r="C153" s="223" t="inlineStr">
        <is>
          <t>$258,044 en pedidos de 10,000 unidades</t>
        </is>
      </c>
      <c r="D153" s="93" t="n"/>
      <c r="E153" s="224" t="inlineStr">
        <is>
          <t>$3,853,145 en pedidos de 200 unidades</t>
        </is>
      </c>
      <c r="F153" s="93" t="n"/>
      <c r="G153" s="1" t="n"/>
    </row>
    <row r="154" ht="28.0545" customHeight="1">
      <c r="A154" s="1" t="n"/>
      <c r="B154" s="21" t="inlineStr">
        <is>
          <t>Margen sobre el precio de venta</t>
        </is>
      </c>
      <c r="C154" s="225" t="inlineStr">
        <is>
          <t>35 %</t>
        </is>
      </c>
      <c r="D154" s="93" t="n"/>
      <c r="E154" s="226" t="inlineStr">
        <is>
          <t>30 %</t>
        </is>
      </c>
      <c r="F154" s="93" t="n"/>
      <c r="G154" s="1" t="n"/>
    </row>
    <row r="155" ht="28.0545" customHeight="1">
      <c r="A155" s="1" t="n"/>
      <c r="B155" s="162" t="inlineStr">
        <is>
          <t>PRECIO DE VENTA AL PÚBLICO</t>
        </is>
      </c>
      <c r="C155" s="223" t="inlineStr">
        <is>
          <t>$397,000</t>
        </is>
      </c>
      <c r="D155" s="93" t="n"/>
      <c r="E155" s="224" t="inlineStr">
        <is>
          <t>$4,370,000</t>
        </is>
      </c>
      <c r="F155" s="93" t="n"/>
      <c r="G155" s="1" t="n"/>
    </row>
    <row r="156" ht="28.0545" customHeight="1">
      <c r="A156" s="1" t="n"/>
      <c r="B156" s="21" t="inlineStr">
        <is>
          <t>Forma de pago alternativa</t>
        </is>
      </c>
      <c r="C156" s="225" t="inlineStr">
        <is>
          <t>12 cuotas de $33,100</t>
        </is>
      </c>
      <c r="D156" s="93" t="n"/>
      <c r="E156" s="226" t="inlineStr">
        <is>
          <t>Leasing a 36 meses, unos $121,389 al mes</t>
        </is>
      </c>
      <c r="F156" s="93" t="n"/>
      <c r="G156" s="1" t="n"/>
    </row>
    <row r="157" ht="60.5635" customHeight="1">
      <c r="A157" s="1" t="n"/>
      <c r="B157" s="19" t="inlineStr">
        <is>
          <t>Con qué se compara</t>
        </is>
      </c>
      <c r="C157" s="227" t="inlineStr">
        <is>
          <t>La compostadora doméstica más barata del mercado internacional se vende al equivalente de $880,000 y solo tiene 2 litros de capacidad, frente a los 20 de este equipo, además de gastar entre 40 y 50 veces más electricidad porque resuelve el olor aplicando calor.</t>
        </is>
      </c>
      <c r="D157" s="93" t="n"/>
      <c r="E157" s="228" t="inlineStr">
        <is>
          <t>Un triturador industrial de residuos de cocina importado cuesta entre 12 y 20 millones de pesos y no incluye pesaje, aviso remoto ni contenedor intercambiable.</t>
        </is>
      </c>
      <c r="F157" s="93" t="n"/>
      <c r="G157" s="1" t="n"/>
    </row>
    <row r="158" ht="8" customHeight="1">
      <c r="A158" s="1" t="n"/>
      <c r="B158" s="1" t="n"/>
      <c r="C158" s="1" t="n"/>
      <c r="D158" s="1" t="n"/>
      <c r="E158" s="1" t="n"/>
      <c r="F158" s="1" t="n"/>
      <c r="G158" s="1" t="n"/>
    </row>
    <row r="159" ht="20" customHeight="1">
      <c r="A159" s="1" t="n"/>
      <c r="B159" s="23" t="inlineStr">
        <is>
          <t>Dos preguntas que conviene responder</t>
        </is>
      </c>
      <c r="C159" s="23" t="n"/>
      <c r="D159" s="23" t="n"/>
      <c r="E159" s="23" t="n"/>
      <c r="F159" s="23" t="n"/>
      <c r="G159" s="1" t="n"/>
    </row>
    <row r="160" ht="174.345" customHeight="1">
      <c r="A160" s="1" t="n"/>
      <c r="B160" s="24" t="inlineStr">
        <is>
          <t>POR QUÉ EL APARATO DEL HOGAR CUESTA $258,044 Y NO MÁS
Porque se fabrican doce mil. En un pedido de cien, el mismo aparato costaría $1,106,576, más de cuatro veces, porque los costos que no dependen de la cantidad —el molde del chasis y la certificación eléctrica— se repartirían entre cien unidades en lugar de diez mil. Es lo mismo que ocurre al mandar a estampar camisetas: una sola resulta costosa, mil salen a una fracción de ese precio.
POR QUÉ EL APARATO COMERCIAL CUESTA QUINCE VECES MÁS
Por tres razones concretas, no por ser un producto de lujo. Primera: procesa hasta 260 veces más material al día, lo que exige un motor de 1.1 kilovatios en lugar de uno de 24 voltios. Segunda: va en acero inoxidable soldado y no en plástico moldeado, porque a 346 unidades el molde no se amortiza y porque una cocina industrial exige superficie lavable. Y tercera: se certifica como maquinaria y no como electrodoméstico, lo que obliga a tablero eléctrico, arrancador, parada de emergencia e instalación dedicada.
Aun así, medido por tonelada que procesa al año, el equipo comercial es mucho más barato: el del hogar cuesta $1,526,000 por cada tonelada anual de capacidad y el comercial $444,000. Esa es, en una cifra, la razón por la que el proyecto trabaja con las dos líneas y no solo con los hogares.</t>
        </is>
      </c>
      <c r="C160" s="24" t="n"/>
      <c r="D160" s="24" t="n"/>
      <c r="E160" s="24" t="n"/>
      <c r="F160" s="24" t="n"/>
      <c r="G160" s="1" t="n"/>
    </row>
    <row r="161">
      <c r="A161" s="1" t="n"/>
      <c r="B161" s="1" t="n"/>
      <c r="C161" s="1" t="n"/>
      <c r="D161" s="1" t="n"/>
      <c r="E161" s="1" t="n"/>
      <c r="F161" s="1" t="n"/>
      <c r="G161" s="1" t="n"/>
    </row>
    <row r="162">
      <c r="A162" s="1" t="n"/>
      <c r="B162" s="1" t="n"/>
      <c r="C162" s="1" t="n"/>
      <c r="D162" s="1" t="n"/>
      <c r="E162" s="1" t="n"/>
      <c r="F162" s="1" t="n"/>
      <c r="G162" s="1" t="n"/>
    </row>
    <row r="163">
      <c r="A163" s="1" t="n"/>
      <c r="B163" s="1" t="n"/>
      <c r="C163" s="1" t="n"/>
      <c r="D163" s="1" t="n"/>
      <c r="E163" s="1" t="n"/>
      <c r="F163" s="1" t="n"/>
      <c r="G163" s="1" t="n"/>
    </row>
  </sheetData>
  <mergeCells count="202">
    <mergeCell ref="C52:F52"/>
    <mergeCell ref="B106:F106"/>
    <mergeCell ref="E145:F145"/>
    <mergeCell ref="B7:F7"/>
    <mergeCell ref="E139:F139"/>
    <mergeCell ref="C62:D62"/>
    <mergeCell ref="C15:D15"/>
    <mergeCell ref="E62:F62"/>
    <mergeCell ref="E71:F71"/>
    <mergeCell ref="B3:F3"/>
    <mergeCell ref="E129:F129"/>
    <mergeCell ref="E142:F142"/>
    <mergeCell ref="E23:F23"/>
    <mergeCell ref="C89:D89"/>
    <mergeCell ref="C32:F32"/>
    <mergeCell ref="B131:F131"/>
    <mergeCell ref="C37:F37"/>
    <mergeCell ref="C79:D79"/>
    <mergeCell ref="B27:F27"/>
    <mergeCell ref="C73:D73"/>
    <mergeCell ref="E79:F79"/>
    <mergeCell ref="E73:F73"/>
    <mergeCell ref="E87:F87"/>
    <mergeCell ref="E156:F156"/>
    <mergeCell ref="E153:F153"/>
    <mergeCell ref="B2:F2"/>
    <mergeCell ref="E128:F128"/>
    <mergeCell ref="E155:F155"/>
    <mergeCell ref="E137:F137"/>
    <mergeCell ref="E65:F65"/>
    <mergeCell ref="E148:F148"/>
    <mergeCell ref="E99:F99"/>
    <mergeCell ref="E157:F157"/>
    <mergeCell ref="C76:D76"/>
    <mergeCell ref="E119:F119"/>
    <mergeCell ref="E101:F101"/>
    <mergeCell ref="C17:D17"/>
    <mergeCell ref="E116:F116"/>
    <mergeCell ref="C50:F50"/>
    <mergeCell ref="B92:F92"/>
    <mergeCell ref="E85:F85"/>
    <mergeCell ref="E100:F100"/>
    <mergeCell ref="C67:D67"/>
    <mergeCell ref="C43:F43"/>
    <mergeCell ref="E136:F136"/>
    <mergeCell ref="C19:D19"/>
    <mergeCell ref="E75:F75"/>
    <mergeCell ref="E22:F22"/>
    <mergeCell ref="E115:F115"/>
    <mergeCell ref="E146:F146"/>
    <mergeCell ref="B160:F160"/>
    <mergeCell ref="E102:F102"/>
    <mergeCell ref="C36:F36"/>
    <mergeCell ref="C69:D69"/>
    <mergeCell ref="C83:D83"/>
    <mergeCell ref="E12:F12"/>
    <mergeCell ref="B129:C129"/>
    <mergeCell ref="E117:F117"/>
    <mergeCell ref="B54:F54"/>
    <mergeCell ref="E122:F122"/>
    <mergeCell ref="E67:F67"/>
    <mergeCell ref="C14:D14"/>
    <mergeCell ref="E14:F14"/>
    <mergeCell ref="C87:D87"/>
    <mergeCell ref="E127:F127"/>
    <mergeCell ref="B56:F56"/>
    <mergeCell ref="C28:F28"/>
    <mergeCell ref="B96:F96"/>
    <mergeCell ref="E147:F147"/>
    <mergeCell ref="C30:F30"/>
    <mergeCell ref="B107:F107"/>
    <mergeCell ref="B8:F8"/>
    <mergeCell ref="C90:D90"/>
    <mergeCell ref="C60:D60"/>
    <mergeCell ref="E90:F90"/>
    <mergeCell ref="E104:F104"/>
    <mergeCell ref="C71:D71"/>
    <mergeCell ref="E154:F154"/>
    <mergeCell ref="E124:F124"/>
    <mergeCell ref="E120:F120"/>
    <mergeCell ref="E16:F16"/>
    <mergeCell ref="C82:D82"/>
    <mergeCell ref="E76:F76"/>
    <mergeCell ref="C57:D57"/>
    <mergeCell ref="B5:F5"/>
    <mergeCell ref="C66:D66"/>
    <mergeCell ref="C155:D155"/>
    <mergeCell ref="E66:F66"/>
    <mergeCell ref="C18:D18"/>
    <mergeCell ref="E58:F58"/>
    <mergeCell ref="E18:F18"/>
    <mergeCell ref="B4:F4"/>
    <mergeCell ref="C77:D77"/>
    <mergeCell ref="E121:F121"/>
    <mergeCell ref="C86:D86"/>
    <mergeCell ref="B109:F109"/>
    <mergeCell ref="C68:D68"/>
    <mergeCell ref="C157:D157"/>
    <mergeCell ref="E68:F68"/>
    <mergeCell ref="C58:D58"/>
    <mergeCell ref="B150:F150"/>
    <mergeCell ref="B159:F159"/>
    <mergeCell ref="E83:F83"/>
    <mergeCell ref="E141:F141"/>
    <mergeCell ref="E123:F123"/>
    <mergeCell ref="E135:F135"/>
    <mergeCell ref="C20:D20"/>
    <mergeCell ref="E20:F20"/>
    <mergeCell ref="C85:D85"/>
    <mergeCell ref="E143:F143"/>
    <mergeCell ref="C152:D152"/>
    <mergeCell ref="C65:D65"/>
    <mergeCell ref="C34:F34"/>
    <mergeCell ref="E103:F103"/>
    <mergeCell ref="E152:F152"/>
    <mergeCell ref="C75:D75"/>
    <mergeCell ref="E13:F13"/>
    <mergeCell ref="C22:D22"/>
    <mergeCell ref="E69:F69"/>
    <mergeCell ref="C84:D84"/>
    <mergeCell ref="E84:F84"/>
    <mergeCell ref="E78:F78"/>
    <mergeCell ref="C80:D80"/>
    <mergeCell ref="E118:F118"/>
    <mergeCell ref="B148:C148"/>
    <mergeCell ref="C59:D59"/>
    <mergeCell ref="E114:F114"/>
    <mergeCell ref="C12:D12"/>
    <mergeCell ref="E59:F59"/>
    <mergeCell ref="C45:F45"/>
    <mergeCell ref="C21:D21"/>
    <mergeCell ref="E77:F77"/>
    <mergeCell ref="E15:F15"/>
    <mergeCell ref="E133:F133"/>
    <mergeCell ref="E86:F86"/>
    <mergeCell ref="E80:F80"/>
    <mergeCell ref="C29:F29"/>
    <mergeCell ref="E89:F89"/>
    <mergeCell ref="C61:D61"/>
    <mergeCell ref="E61:F61"/>
    <mergeCell ref="C70:D70"/>
    <mergeCell ref="C47:F47"/>
    <mergeCell ref="C23:D23"/>
    <mergeCell ref="E70:F70"/>
    <mergeCell ref="C44:F44"/>
    <mergeCell ref="E144:F144"/>
    <mergeCell ref="E57:F57"/>
    <mergeCell ref="C31:F31"/>
    <mergeCell ref="E125:F125"/>
    <mergeCell ref="E72:F72"/>
    <mergeCell ref="E134:F134"/>
    <mergeCell ref="E81:F81"/>
    <mergeCell ref="C46:F46"/>
    <mergeCell ref="C51:F51"/>
    <mergeCell ref="B110:F110"/>
    <mergeCell ref="C154:D154"/>
    <mergeCell ref="B113:F113"/>
    <mergeCell ref="C48:F48"/>
    <mergeCell ref="C24:D24"/>
    <mergeCell ref="E24:F24"/>
    <mergeCell ref="E98:F98"/>
    <mergeCell ref="C156:D156"/>
    <mergeCell ref="C38:F38"/>
    <mergeCell ref="C74:D74"/>
    <mergeCell ref="C88:D88"/>
    <mergeCell ref="E17:F17"/>
    <mergeCell ref="B93:F93"/>
    <mergeCell ref="E88:F88"/>
    <mergeCell ref="E126:F126"/>
    <mergeCell ref="E82:F82"/>
    <mergeCell ref="E140:F140"/>
    <mergeCell ref="C10:D10"/>
    <mergeCell ref="C16:D16"/>
    <mergeCell ref="E10:F10"/>
    <mergeCell ref="C49:F49"/>
    <mergeCell ref="E138:F138"/>
    <mergeCell ref="E19:F19"/>
    <mergeCell ref="B151:F151"/>
    <mergeCell ref="C33:F33"/>
    <mergeCell ref="B132:F132"/>
    <mergeCell ref="C9:D9"/>
    <mergeCell ref="E60:F60"/>
    <mergeCell ref="C42:F42"/>
    <mergeCell ref="E9:F9"/>
    <mergeCell ref="E74:F74"/>
    <mergeCell ref="C35:F35"/>
    <mergeCell ref="C11:D11"/>
    <mergeCell ref="B112:F112"/>
    <mergeCell ref="E11:F11"/>
    <mergeCell ref="B40:F40"/>
    <mergeCell ref="C153:D153"/>
    <mergeCell ref="B55:F55"/>
    <mergeCell ref="C72:D72"/>
    <mergeCell ref="B64:F64"/>
    <mergeCell ref="B95:F95"/>
    <mergeCell ref="C81:D81"/>
    <mergeCell ref="E97:F97"/>
    <mergeCell ref="C13:D13"/>
    <mergeCell ref="C78:D78"/>
    <mergeCell ref="B26:F26"/>
    <mergeCell ref="B41:F41"/>
    <mergeCell ref="E21:F21"/>
  </mergeCells>
  <printOptions horizontalCentered="1"/>
  <pageMargins left="0.4" right="0.4" top="0.5" bottom="0.5" header="0.5" footer="0.5"/>
  <pageSetup orientation="landscape" paperSize="9" fitToHeight="0" fitToWidth="1"/>
  <ignoredErrors>
    <ignoredError sqref="A1:G163" numberStoredAsText="1"/>
  </ignoredErrors>
</worksheet>
</file>

<file path=xl/worksheets/sheet7.xml><?xml version="1.0" encoding="utf-8"?>
<worksheet xmlns="http://schemas.openxmlformats.org/spreadsheetml/2006/main">
  <sheetPr>
    <tabColor rgb="005B6770"/>
    <outlinePr summaryBelow="1" summaryRight="1"/>
    <pageSetUpPr fitToPage="1"/>
  </sheetPr>
  <dimension ref="A1:G79"/>
  <sheetViews>
    <sheetView showGridLines="0" zoomScale="85" workbookViewId="0">
      <pane xSplit="1" ySplit="5" topLeftCell="B6" activePane="bottomRight" state="frozen"/>
      <selection pane="topRight"/>
      <selection pane="bottomLeft"/>
      <selection pane="bottomRight" activeCell="A1" sqref="A1"/>
    </sheetView>
  </sheetViews>
  <sheetFormatPr baseColWidth="8" defaultRowHeight="15"/>
  <cols>
    <col width="2.43" customWidth="1" min="1" max="1"/>
    <col width="60.14" customWidth="1" min="2" max="2"/>
    <col width="60.14" customWidth="1" min="3" max="3"/>
    <col width="20" customWidth="1" min="4" max="4"/>
    <col width="80" customWidth="1" min="5" max="5"/>
    <col width="80" customWidth="1" min="6" max="6"/>
    <col width="2.43" customWidth="1" min="7" max="7"/>
  </cols>
  <sheetData>
    <row r="1">
      <c r="A1" s="1" t="n"/>
      <c r="B1" s="1" t="n"/>
      <c r="C1" s="1" t="n"/>
      <c r="D1" s="1" t="n"/>
      <c r="E1" s="1" t="n"/>
      <c r="F1" s="1" t="n"/>
      <c r="G1" s="1" t="n"/>
    </row>
    <row r="2" ht="46" customHeight="1">
      <c r="A2" s="1" t="n"/>
      <c r="B2" s="2" t="inlineStr">
        <is>
          <t>FUENTES Y BIBLIOGRAFÍA</t>
        </is>
      </c>
      <c r="C2" s="2" t="n"/>
      <c r="D2" s="2" t="n"/>
      <c r="E2" s="2" t="n"/>
      <c r="F2" s="2" t="n"/>
      <c r="G2" s="1" t="n"/>
    </row>
    <row r="3" ht="24" customHeight="1">
      <c r="A3" s="1" t="n"/>
      <c r="B3" s="3" t="inlineStr">
        <is>
          <t>Todas las fuentes con su enlace, y qué aporta cada una a este trabajo   ·   Consultadas y verificadas en septiembre de 2026</t>
        </is>
      </c>
      <c r="C3" s="3" t="n"/>
      <c r="D3" s="3" t="n"/>
      <c r="E3" s="3" t="n"/>
      <c r="F3" s="3" t="n"/>
      <c r="G3" s="1" t="n"/>
    </row>
    <row r="4" ht="20" customHeight="1">
      <c r="A4" s="1" t="n"/>
      <c r="B4" s="23" t="inlineStr">
        <is>
          <t>Léase esto primero</t>
        </is>
      </c>
      <c r="C4" s="23" t="n"/>
      <c r="D4" s="23" t="n"/>
      <c r="E4" s="23" t="n"/>
      <c r="F4" s="23" t="n"/>
      <c r="G4" s="1" t="n"/>
    </row>
    <row r="5" ht="158.0905" customHeight="1">
      <c r="A5" s="1" t="n"/>
      <c r="B5" s="24" t="inlineStr">
        <is>
          <t>CÓMO SE LEE ESTA HOJA
Cada fila dice quién publica el documento, cómo se llama, de qué año es, qué aporta concretamente a este trabajo y dónde se puede ver. La columna «qué aporta» es la importante: una bibliografía que solo lista títulos no sirve para verificar nada.
QUÉ SIGNIFICA CADA TIPO DE ENLACE
«Documento directo» quiere decir que el enlace abre el archivo exacto que se citó. «Portal oficial» quiere decir que el documento no tiene un enlace directo estable y hay que buscarlo dentro del sitio de la entidad, que es el que se indica. «Catálogo del proveedor» quiere decir que el precio se tomó de la tienda o el catálogo de quien vende la pieza.
UNA REGLA QUE SE SIGUIÓ EN TODO EL TRABAJO
Cuando un dato no existe públicamente se indica de forma expresa en lugar de suponerlo. Esos casos se señalan explícitamente donde aparecen.</t>
        </is>
      </c>
      <c r="C5" s="24" t="n"/>
      <c r="D5" s="24" t="n"/>
      <c r="E5" s="24" t="n"/>
      <c r="F5" s="24" t="n"/>
      <c r="G5" s="1" t="n"/>
    </row>
    <row r="6" ht="12" customHeight="1">
      <c r="A6" s="1" t="n"/>
      <c r="B6" s="1" t="n"/>
      <c r="C6" s="1" t="n"/>
      <c r="D6" s="1" t="n"/>
      <c r="E6" s="1" t="n"/>
      <c r="F6" s="1" t="n"/>
      <c r="G6" s="1" t="n"/>
    </row>
    <row r="7" ht="28" customHeight="1">
      <c r="A7" s="1" t="n"/>
      <c r="B7" s="14" t="inlineStr">
        <is>
          <t>Fuente principal sobre el tratamiento de residuos orgánicos en Colombia  (1)</t>
        </is>
      </c>
      <c r="C7" s="14" t="n"/>
      <c r="D7" s="14" t="n"/>
      <c r="E7" s="14" t="n"/>
      <c r="F7" s="14" t="n"/>
      <c r="G7" s="1" t="n"/>
    </row>
    <row r="8" ht="30" customHeight="1">
      <c r="A8" s="1" t="n"/>
      <c r="B8" s="66" t="inlineStr">
        <is>
          <t>Quién lo publica</t>
        </is>
      </c>
      <c r="C8" s="66" t="inlineStr">
        <is>
          <t>Documento</t>
        </is>
      </c>
      <c r="D8" s="66" t="inlineStr">
        <is>
          <t>Año</t>
        </is>
      </c>
      <c r="E8" s="66" t="inlineStr">
        <is>
          <t>Qué aporta a este trabajo</t>
        </is>
      </c>
      <c r="F8" s="66" t="inlineStr">
        <is>
          <t>Enlace</t>
        </is>
      </c>
      <c r="G8" s="1" t="n"/>
    </row>
    <row r="9" ht="158.0905" customHeight="1">
      <c r="A9" s="1" t="n"/>
      <c r="B9" s="205" t="inlineStr">
        <is>
          <t>Witteveen+Bos y MAG Consultoría, para el Banco Mundial y el Ministerio de Vivienda, Ciudad y Territorio</t>
        </is>
      </c>
      <c r="C9" s="20" t="inlineStr">
        <is>
          <t>Tratamiento de residuos sólidos en el marco del servicio público de aseo. Documento del Componente 1</t>
        </is>
      </c>
      <c r="D9" s="229" t="inlineStr">
        <is>
          <t>2021</t>
        </is>
      </c>
      <c r="E9" s="20" t="inlineStr">
        <is>
          <t>Es el documento de referencia sobre el tratamiento de residuos orgánicos en el servicio público de aseo colombiano. Establece que los residuos de comida corresponden a la actividad de tratamiento y no a la de aprovechamiento, y que las organizaciones de recicladores se especializan en material inorgánico. Transcribe el artículo 31 de la Resolución CRA 720, que habilita el cobro del tratamiento en la tarifa. Publica los costos de inversión y operación de plantas de compostaje colombianas por tamaño. Y reporta los precios reales de venta del abono, entre $160,000 y $300,000 por tonelada, y la tarifa de recepción que las plantas requieren para ser rentables, cercana a $100,000 por tonelada.</t>
        </is>
      </c>
      <c r="F9" s="230" t="inlineStr">
        <is>
          <t>[Documento directo]
https://www.minvivienda.gov.co/sites/default/files/documentos/20210806-entregable-1-v5-definitiva_0.pdf</t>
        </is>
      </c>
      <c r="G9" s="1" t="n"/>
    </row>
    <row r="10" ht="14" customHeight="1">
      <c r="A10" s="1" t="n"/>
      <c r="B10" s="1" t="n"/>
      <c r="C10" s="1" t="n"/>
      <c r="D10" s="1" t="n"/>
      <c r="E10" s="1" t="n"/>
      <c r="F10" s="1" t="n"/>
      <c r="G10" s="1" t="n"/>
    </row>
    <row r="11" ht="28" customHeight="1">
      <c r="A11" s="1" t="n"/>
      <c r="B11" s="14" t="inlineStr">
        <is>
          <t>Entidades oficiales nacionales  (12)</t>
        </is>
      </c>
      <c r="C11" s="14" t="n"/>
      <c r="D11" s="14" t="n"/>
      <c r="E11" s="14" t="n"/>
      <c r="F11" s="14" t="n"/>
      <c r="G11" s="1" t="n"/>
    </row>
    <row r="12" ht="30" customHeight="1">
      <c r="A12" s="1" t="n"/>
      <c r="B12" s="66" t="inlineStr">
        <is>
          <t>Quién lo publica</t>
        </is>
      </c>
      <c r="C12" s="66" t="inlineStr">
        <is>
          <t>Documento</t>
        </is>
      </c>
      <c r="D12" s="66" t="inlineStr">
        <is>
          <t>Año</t>
        </is>
      </c>
      <c r="E12" s="66" t="inlineStr">
        <is>
          <t>Qué aporta a este trabajo</t>
        </is>
      </c>
      <c r="F12" s="66" t="inlineStr">
        <is>
          <t>Enlace</t>
        </is>
      </c>
      <c r="G12" s="1" t="n"/>
    </row>
    <row r="13" ht="60.5635" customHeight="1">
      <c r="A13" s="1" t="n"/>
      <c r="B13" s="205" t="inlineStr">
        <is>
          <t>Superintendencia de Servicios Públicos Domiciliarios</t>
        </is>
      </c>
      <c r="C13" s="20" t="inlineStr">
        <is>
          <t>Informe Nacional de Disposición Final de Residuos Sólidos en Colombia 2024</t>
        </is>
      </c>
      <c r="D13" s="229" t="inlineStr">
        <is>
          <t>2025</t>
        </is>
      </c>
      <c r="E13" s="20" t="inlineStr">
        <is>
          <t>Bogotá dispuso 6,364 toneladas diarias en 2024, con un aumento del 4.98 %, y representa el 18.70 % de todo lo que se entierra en el país.</t>
        </is>
      </c>
      <c r="F13" s="230" t="inlineStr">
        <is>
          <t>[Documento directo]
https://www.superservicios.gov.co/sites/default/files/2025-12/Informe-Nacional-de-Disposicion-Final-de-Residuos-Solidos-en-Combia-2024.pdf</t>
        </is>
      </c>
      <c r="G13" s="1" t="n"/>
    </row>
    <row r="14" ht="60.5635" customHeight="1">
      <c r="A14" s="1" t="n"/>
      <c r="B14" s="206" t="inlineStr">
        <is>
          <t>Ministerio de Ambiente e IDEAM</t>
        </is>
      </c>
      <c r="C14" s="22" t="inlineStr">
        <is>
          <t>Inventario Nacional de Emisiones y Absorciones Atmosféricas</t>
        </is>
      </c>
      <c r="D14" s="231" t="inlineStr">
        <is>
          <t>2025, con datos de 2021</t>
        </is>
      </c>
      <c r="E14" s="22" t="inlineStr">
        <is>
          <t>La agricultura produce el 20.69 % de las emisiones del país; el óxido nitroso de suelos fertilizados es el 16.61 % de ese sector; se aplicaron 370,357 toneladas de nitrógeno químico a los suelos.</t>
        </is>
      </c>
      <c r="F14" s="232" t="inlineStr">
        <is>
          <t>[Documento directo]
https://www.minambiente.gov.co/wp-content/uploads/2025/05/Inventario_Nacional_de_Emisiones_y_Absorciones_Atmosfericas_de_Colombia.pdf</t>
        </is>
      </c>
      <c r="G14" s="1" t="n"/>
    </row>
    <row r="15" ht="60.5635" customHeight="1">
      <c r="A15" s="1" t="n"/>
      <c r="B15" s="205" t="inlineStr">
        <is>
          <t>Departamento Administrativo Nacional de Estadística</t>
        </is>
      </c>
      <c r="C15" s="20" t="inlineStr">
        <is>
          <t>Sistema de precios de insumos agropecuarios SIPSA, anexo por municipio</t>
        </is>
      </c>
      <c r="D15" s="229" t="inlineStr">
        <is>
          <t>julio de 2026</t>
        </is>
      </c>
      <c r="E15" s="20" t="inlineStr">
        <is>
          <t>Precio de la urea, el DAP, el cloruro de potasio, el NPK y el abono orgánico por bulto de 50 kilos, municipio por municipio. Es el microdato con el que se calcularon todos los precios de fertilizantes.</t>
        </is>
      </c>
      <c r="F15" s="230" t="inlineStr">
        <is>
          <t>[Documento directo]
https://www.dane.gov.co/files/operaciones/SIPSA/anex-SIPSAinsumosmunicipio-jul2026.xlsx</t>
        </is>
      </c>
      <c r="G15" s="1" t="n"/>
    </row>
    <row r="16" ht="44.309" customHeight="1">
      <c r="A16" s="1" t="n"/>
      <c r="B16" s="206" t="inlineStr">
        <is>
          <t>Ministerio de Agricultura y Desarrollo Rural</t>
        </is>
      </c>
      <c r="C16" s="22" t="inlineStr">
        <is>
          <t>Evaluaciones Agropecuarias Municipales, base agrícola 2019-2025</t>
        </is>
      </c>
      <c r="D16" s="231" t="inlineStr">
        <is>
          <t>2026</t>
        </is>
      </c>
      <c r="E16" s="22" t="inlineStr">
        <is>
          <t>La Sabana de Bogotá sembró 76,626 hectáreas en 2025, de las cuales 58,087 son de papa. Es el dato que dimensiona el mercado del abono.</t>
        </is>
      </c>
      <c r="F16" s="232" t="inlineStr">
        <is>
          <t>[Documento directo]
https://www.datos.gov.co/resource/uejq-wxrr.json</t>
        </is>
      </c>
      <c r="G16" s="1" t="n"/>
    </row>
    <row r="17" ht="60.5635" customHeight="1">
      <c r="A17" s="1" t="n"/>
      <c r="B17" s="205" t="inlineStr">
        <is>
          <t>IDEAM, Ministerio de Ambiente y Universidad de Ciencias Aplicadas</t>
        </is>
      </c>
      <c r="C17" s="20" t="inlineStr">
        <is>
          <t>Estudio Nacional de la Degradación de Suelos por Erosión en Colombia</t>
        </is>
      </c>
      <c r="D17" s="229" t="inlineStr">
        <is>
          <t>vigente</t>
        </is>
      </c>
      <c r="E17" s="20" t="inlineStr">
        <is>
          <t>El 80.3 % de los suelos de Cundinamarca está erosionado y el 5 % con erosión severa, frente al 40 % del promedio nacional. Es el argumento técnico para vender compost.</t>
        </is>
      </c>
      <c r="F17" s="230" t="inlineStr">
        <is>
          <t>[Documento directo]
https://www.minambiente.gov.co/40-del-territorio-colombiano-presenta-algun-grado-de-degradacion-de-suelos-por-erosion/</t>
        </is>
      </c>
      <c r="G17" s="1" t="n"/>
    </row>
    <row r="18" ht="44.309" customHeight="1">
      <c r="A18" s="1" t="n"/>
      <c r="B18" s="206" t="inlineStr">
        <is>
          <t>Instituto Colombiano Agropecuario</t>
        </is>
      </c>
      <c r="C18" s="22" t="inlineStr">
        <is>
          <t>Resolución ICA 150 de 2003, reglamento técnico de fertilizantes y acondicionadores de suelos</t>
        </is>
      </c>
      <c r="D18" s="231" t="inlineStr">
        <is>
          <t>2003</t>
        </is>
      </c>
      <c r="E18" s="22" t="inlineStr">
        <is>
          <t>Obliga a registrarse como productor y a registrar el producto antes de venderlo. Define la barrera regulatoria que hay que superar para poder comercializar el abono.</t>
        </is>
      </c>
      <c r="F18" s="232" t="inlineStr">
        <is>
          <t>[Documento directo]
https://www.suin-juriscol.gov.co/viewDocument.asp?ruta=Resolucion/30042205</t>
        </is>
      </c>
      <c r="G18" s="1" t="n"/>
    </row>
    <row r="19" ht="60.5635" customHeight="1">
      <c r="A19" s="1" t="n"/>
      <c r="B19" s="205" t="inlineStr">
        <is>
          <t>Instituto Colombiano Agropecuario</t>
        </is>
      </c>
      <c r="C19" s="20" t="inlineStr">
        <is>
          <t>Trámite de registro de fertilizantes y acondicionadores de suelos</t>
        </is>
      </c>
      <c r="D19" s="229" t="inlineStr">
        <is>
          <t>vigente</t>
        </is>
      </c>
      <c r="E19" s="20" t="inlineStr">
        <is>
          <t>Explica el procedimiento, los formularios y los requisitos del registro. El trámite toma unos dos días hábiles una vez radicado completo.</t>
        </is>
      </c>
      <c r="F19" s="230" t="inlineStr">
        <is>
          <t>[Portal oficial donde se consulta]
https://www.ica.gov.co/oferta-institucional/tramites/agricola/fertilizantes/tramite-numero-uno.aspx</t>
        </is>
      </c>
      <c r="G19" s="1" t="n"/>
    </row>
    <row r="20" ht="44.309" customHeight="1">
      <c r="A20" s="1" t="n"/>
      <c r="B20" s="206" t="inlineStr">
        <is>
          <t>Superintendencia Financiera de Colombia</t>
        </is>
      </c>
      <c r="C20" s="22" t="inlineStr">
        <is>
          <t>Tasa Representativa del Mercado</t>
        </is>
      </c>
      <c r="D20" s="231" t="inlineStr">
        <is>
          <t>2026</t>
        </is>
      </c>
      <c r="E20" s="22" t="inlineStr">
        <is>
          <t>La tasa de cambio de $3,099,48 del 10 de septiembre de 2026, que este trabajo redondea a $3,100 para convertir todos los precios en dólares.</t>
        </is>
      </c>
      <c r="F20" s="232" t="inlineStr">
        <is>
          <t>[Documento directo]
https://www.datos.gov.co/resource/32sa-8pi3.json</t>
        </is>
      </c>
      <c r="G20" s="1" t="n"/>
    </row>
    <row r="21" ht="44.309" customHeight="1">
      <c r="A21" s="1" t="n"/>
      <c r="B21" s="205" t="inlineStr">
        <is>
          <t>Dirección de Impuestos y Aduanas Nacionales</t>
        </is>
      </c>
      <c r="C21" s="20" t="inlineStr">
        <is>
          <t>Resolución DIAN 000003 del 30 de enero de 2026</t>
        </is>
      </c>
      <c r="D21" s="229" t="inlineStr">
        <is>
          <t>2026</t>
        </is>
      </c>
      <c r="E21" s="20" t="inlineStr">
        <is>
          <t>Fija el impuesto nacional al carbono en $29,070,49 por tonelada de CO₂, que es el precio con el que se valoran los bonos de carbono del proyecto.</t>
        </is>
      </c>
      <c r="F21" s="230" t="inlineStr">
        <is>
          <t>[Documento directo]
https://normograma.dian.gov.co/dian/compilacion/docs/resolucion_dian_0003_2026.htm</t>
        </is>
      </c>
      <c r="G21" s="1" t="n"/>
    </row>
    <row r="22" ht="60.5635" customHeight="1">
      <c r="A22" s="1" t="n"/>
      <c r="B22" s="206" t="inlineStr">
        <is>
          <t>Agencia Nacional del Espectro y MinTIC</t>
        </is>
      </c>
      <c r="C22" s="22" t="inlineStr">
        <is>
          <t>Resolución ANE 28 de 2026, plan de banda de 896 a 915 MHz</t>
        </is>
      </c>
      <c r="D22" s="231" t="inlineStr">
        <is>
          <t>2026</t>
        </is>
      </c>
      <c r="E22" s="22" t="inlineStr">
        <is>
          <t>Reserva el tramo de 905 a 915 MHz para telefonía móvil, dejando libre el de 915 a 928. Es la norma que obliga a usar el plan de frecuencias AU915 y no el US915, decisión técnica que de no verse a tiempo dejaría todos los aparatos sin comunicación.</t>
        </is>
      </c>
      <c r="F22" s="232" t="inlineStr">
        <is>
          <t>[Documento directo]
https://normograma.mintic.gov.co/mintic/compilacion/docs/resolucion_ane_0028_2026.htm</t>
        </is>
      </c>
      <c r="G22" s="1" t="n"/>
    </row>
    <row r="23" ht="60.5635" customHeight="1">
      <c r="A23" s="1" t="n"/>
      <c r="B23" s="205" t="inlineStr">
        <is>
          <t>Ministerio de Salud y Protección Social</t>
        </is>
      </c>
      <c r="C23" s="20" t="inlineStr">
        <is>
          <t>Decreto 1607 de 2002, tabla de clasificación de riesgos</t>
        </is>
      </c>
      <c r="D23" s="229" t="inlineStr">
        <is>
          <t>2002</t>
        </is>
      </c>
      <c r="E23" s="20" t="inlineStr">
        <is>
          <t>Clasifica la recolección de residuos como actividad de riesgo alto, lo que fija la tarifa de ARL en 4,350 % y no en la tarifa mínima que se suele suponer. Afecta directamente el costo de cada operario.</t>
        </is>
      </c>
      <c r="F23" s="230" t="inlineStr">
        <is>
          <t>[Documento directo]
https://www.minsalud.gov.co/sites/rid/Lists/BibliotecaDigital/RIDE/DE/DIJ/Decreto-1607-de-2002.pdf</t>
        </is>
      </c>
      <c r="G23" s="1" t="n"/>
    </row>
    <row r="24" ht="76.81799999999998" customHeight="1">
      <c r="A24" s="1" t="n"/>
      <c r="B24" s="206" t="inlineStr">
        <is>
          <t>Departamento Administrativo de la Función Pública</t>
        </is>
      </c>
      <c r="C24" s="22" t="inlineStr">
        <is>
          <t>Gestor Normativo: Decreto 670 de 2025, Decreto Transitorio 0159 de 2026 y Decreto 1784 de 2017</t>
        </is>
      </c>
      <c r="D24" s="231" t="inlineStr">
        <is>
          <t>2017 a 2026</t>
        </is>
      </c>
      <c r="E24" s="22" t="inlineStr">
        <is>
          <t>Buscador oficial donde se consulta el texto vigente de estas tres normas: la que impulsa la transición de rellenos a parques de tratamiento, la que fija el salario mínimo de 2026 en $1,750,905, y la que obliga a la CRA a incentivar la actividad de tratamiento.</t>
        </is>
      </c>
      <c r="F24" s="232" t="inlineStr">
        <is>
          <t>[Portal oficial donde se consulta]
https://www.funcionpublica.gov.co/eva/gestornormativo/norma.php?i=84140</t>
        </is>
      </c>
      <c r="G24" s="1" t="n"/>
    </row>
    <row r="25" ht="14" customHeight="1">
      <c r="A25" s="1" t="n"/>
      <c r="B25" s="1" t="n"/>
      <c r="C25" s="1" t="n"/>
      <c r="D25" s="1" t="n"/>
      <c r="E25" s="1" t="n"/>
      <c r="F25" s="1" t="n"/>
      <c r="G25" s="1" t="n"/>
    </row>
    <row r="26" ht="28" customHeight="1">
      <c r="A26" s="1" t="n"/>
      <c r="B26" s="14" t="inlineStr">
        <is>
          <t>Entidades distritales de Bogotá  (7)</t>
        </is>
      </c>
      <c r="C26" s="14" t="n"/>
      <c r="D26" s="14" t="n"/>
      <c r="E26" s="14" t="n"/>
      <c r="F26" s="14" t="n"/>
      <c r="G26" s="1" t="n"/>
    </row>
    <row r="27" ht="30" customHeight="1">
      <c r="A27" s="1" t="n"/>
      <c r="B27" s="66" t="inlineStr">
        <is>
          <t>Quién lo publica</t>
        </is>
      </c>
      <c r="C27" s="66" t="inlineStr">
        <is>
          <t>Documento</t>
        </is>
      </c>
      <c r="D27" s="66" t="inlineStr">
        <is>
          <t>Año</t>
        </is>
      </c>
      <c r="E27" s="66" t="inlineStr">
        <is>
          <t>Qué aporta a este trabajo</t>
        </is>
      </c>
      <c r="F27" s="66" t="inlineStr">
        <is>
          <t>Enlace</t>
        </is>
      </c>
      <c r="G27" s="1" t="n"/>
    </row>
    <row r="28" ht="60.5635" customHeight="1">
      <c r="A28" s="1" t="n"/>
      <c r="B28" s="205" t="inlineStr">
        <is>
          <t>Unidad Administrativa Especial de Servicios Públicos</t>
        </is>
      </c>
      <c r="C28" s="20" t="inlineStr">
        <is>
          <t>Informe de Gestión 2024, versión 2</t>
        </is>
      </c>
      <c r="D28" s="229" t="inlineStr">
        <is>
          <t>2025</t>
        </is>
      </c>
      <c r="E28" s="20" t="inlineStr">
        <is>
          <t>De cada 100 toneladas que entraron al relleno en el segundo semestre de 2024, 94 se enterraron y solo 6 recibieron tratamiento. La captura de biogás cayó 23.23 % en el año. Y la capacidad de tratar comida era de dos plantas con 30 toneladas al mes.</t>
        </is>
      </c>
      <c r="F28" s="230" t="inlineStr">
        <is>
          <t>[Documento directo]
https://www.uaesp.gov.co/sites/default/files/documentos/Informe_gestion_2024_Vesion_2.pdf</t>
        </is>
      </c>
      <c r="G28" s="1" t="n"/>
    </row>
    <row r="29" ht="76.81799999999998" customHeight="1">
      <c r="A29" s="1" t="n"/>
      <c r="B29" s="206" t="inlineStr">
        <is>
          <t>UAESP</t>
        </is>
      </c>
      <c r="C29" s="22" t="inlineStr">
        <is>
          <t>Documento Técnico de Soporte del Plan de Gestión Integral de Residuos Sólidos 2024-2027</t>
        </is>
      </c>
      <c r="D29" s="231" t="inlineStr">
        <is>
          <t>2024</t>
        </is>
      </c>
      <c r="E29" s="22" t="inlineStr">
        <is>
          <t>Fija la meta de tratar al menos el 20 % de la comida que se entierra, y reconoce expresamente que la tarifa actual no alcanza para que estos proyectos cierren financieramente. Es a la vez la meta que Recoevo ayuda a cumplir y la explicación de por qué el mercado está vacío.</t>
        </is>
      </c>
      <c r="F29" s="232" t="inlineStr">
        <is>
          <t>[Documento directo]
https://www.uaesp.gov.co/sites/default/files/planeacion/pgirs2025/DTS_PGIRS_2024.pdf</t>
        </is>
      </c>
      <c r="G29" s="1" t="n"/>
    </row>
    <row r="30" ht="60.5635" customHeight="1">
      <c r="A30" s="1" t="n"/>
      <c r="B30" s="205" t="inlineStr">
        <is>
          <t>UAESP y Universidad Nacional de Colombia</t>
        </is>
      </c>
      <c r="C30" s="20" t="inlineStr">
        <is>
          <t>Guía técnica para el aprovechamiento de residuos orgánicos mediante compostaje y lombricultura</t>
        </is>
      </c>
      <c r="D30" s="229" t="inlineStr">
        <is>
          <t>vigente</t>
        </is>
      </c>
      <c r="E30" s="20" t="inlineStr">
        <is>
          <t>El 53.22 % de lo que se entierra en Doña Juana es materia orgánica y el 74 % de esa fracción sale de las casas. Es el dato del que depende todo el dimensionamiento del proyecto.</t>
        </is>
      </c>
      <c r="F30" s="230" t="inlineStr">
        <is>
          <t>[Documento directo]
https://www.uaesp.gov.co/images/Guia-UAESP_SR.pdf</t>
        </is>
      </c>
      <c r="G30" s="1" t="n"/>
    </row>
    <row r="31" ht="60.5635" customHeight="1">
      <c r="A31" s="1" t="n"/>
      <c r="B31" s="206" t="inlineStr">
        <is>
          <t>Secretaría Distrital de Integración Social</t>
        </is>
      </c>
      <c r="C31" s="22" t="inlineStr">
        <is>
          <t>Localidad de Usme, diagnóstico 2024</t>
        </is>
      </c>
      <c r="D31" s="231" t="inlineStr">
        <is>
          <t>2025</t>
        </is>
      </c>
      <c r="E31" s="22" t="inlineStr">
        <is>
          <t>Usme tiene 414,995 habitantes y 141,795 hogares, con 57.81 % de pobreza monetaria, 55.7 % de informalidad y 17 % de desempleo. Define el perfil del usuario y explica por qué no se le puede cobrar.</t>
        </is>
      </c>
      <c r="F31" s="232" t="inlineStr">
        <is>
          <t>[Documento directo]
https://www.integracionsocial.gov.co/images/_docs/2025/Entidad/localidades/12052025-5-Usme-Diagnostico-2024.pdf</t>
        </is>
      </c>
      <c r="G31" s="1" t="n"/>
    </row>
    <row r="32" ht="93.07249999999999" customHeight="1">
      <c r="A32" s="1" t="n"/>
      <c r="B32" s="205" t="inlineStr">
        <is>
          <t>Empresa de Acueducto y Alcantarillado de Bogotá</t>
        </is>
      </c>
      <c r="C32" s="20" t="inlineStr">
        <is>
          <t>Acuerdo de Junta Directiva 255 del 27 de mayo de 2026</t>
        </is>
      </c>
      <c r="D32" s="229" t="inlineStr">
        <is>
          <t>vigente desde julio de 2026</t>
        </is>
      </c>
      <c r="E32" s="20" t="inlineStr">
        <is>
          <t>Tarifas de acueducto y alcantarillado por estrato bajo el nuevo marco de la CRA. Con estas cifras se calculó que la factura de alcantarillado de un hogar de estrato 1 es de $17,286 al mes, y que por tanto el 50 % de esa factura equivaldría a $8,643 al mes. El programa fija el incentivo muy por debajo de ese techo, en $1,500 al mes, porque tiene que caber en el costeo.</t>
        </is>
      </c>
      <c r="F32" s="230" t="inlineStr">
        <is>
          <t>[Documento directo]
https://www.acueducto.com.co/wps/wcm/connect/EAB2/0de38561-cb70-4a6f-aed0-9e57707b182c/Acuerdo+255+de+2026.pdf</t>
        </is>
      </c>
      <c r="G32" s="1" t="n"/>
    </row>
    <row r="33" ht="60.5635" customHeight="1">
      <c r="A33" s="1" t="n"/>
      <c r="B33" s="206" t="inlineStr">
        <is>
          <t>Concejo de Bogotá</t>
        </is>
      </c>
      <c r="C33" s="22" t="inlineStr">
        <is>
          <t>Acuerdo 830 de 2021, factores de subsidio y aporte solidario</t>
        </is>
      </c>
      <c r="D33" s="231" t="inlineStr">
        <is>
          <t>vence el 31 de diciembre de 2026</t>
        </is>
      </c>
      <c r="E33" s="22" t="inlineStr">
        <is>
          <t>Confirma que los estratos 1 y 2 ya reciben el subsidio máximo legal, 70 % y 40 %, razón por la cual no hay margen para el descuento propuesto. Su vencimiento abre la ventana para proponer un incentivo distrital nuevo.</t>
        </is>
      </c>
      <c r="F33" s="232" t="inlineStr">
        <is>
          <t>[Documento directo]
https://www.alcaldiabogota.gov.co/sisjur//normas/Norma1.jsp?i=120507</t>
        </is>
      </c>
      <c r="G33" s="1" t="n"/>
    </row>
    <row r="34" ht="44.309" customHeight="1">
      <c r="A34" s="1" t="n"/>
      <c r="B34" s="205" t="inlineStr">
        <is>
          <t>Observatorio Ambiental de Bogotá</t>
        </is>
      </c>
      <c r="C34" s="20" t="inlineStr">
        <is>
          <t>Gestión integral de residuos en Bogotá</t>
        </is>
      </c>
      <c r="D34" s="229" t="inlineStr">
        <is>
          <t>consultado en 2026</t>
        </is>
      </c>
      <c r="E34" s="20" t="inlineStr">
        <is>
          <t>Ficha del relleno Doña Juana: 623 hectáreas, en operación desde noviembre de 1988 y con capacidad calculada de 16 millones de metros cúbicos.</t>
        </is>
      </c>
      <c r="F34" s="230" t="inlineStr">
        <is>
          <t>[Portal oficial donde se consulta]
https://oab.ambientebogota.gov.co/gestion-integral-de-residuos-en-bogota/</t>
        </is>
      </c>
      <c r="G34" s="1" t="n"/>
    </row>
    <row r="35" ht="14" customHeight="1">
      <c r="A35" s="1" t="n"/>
      <c r="B35" s="1" t="n"/>
      <c r="C35" s="1" t="n"/>
      <c r="D35" s="1" t="n"/>
      <c r="E35" s="1" t="n"/>
      <c r="F35" s="1" t="n"/>
      <c r="G35" s="1" t="n"/>
    </row>
    <row r="36" ht="28" customHeight="1">
      <c r="A36" s="1" t="n"/>
      <c r="B36" s="14" t="inlineStr">
        <is>
          <t>Pliegos tarifarios de los operadores de aseo  (8)</t>
        </is>
      </c>
      <c r="C36" s="14" t="n"/>
      <c r="D36" s="14" t="n"/>
      <c r="E36" s="14" t="n"/>
      <c r="F36" s="14" t="n"/>
      <c r="G36" s="1" t="n"/>
    </row>
    <row r="37" ht="30" customHeight="1">
      <c r="A37" s="1" t="n"/>
      <c r="B37" s="66" t="inlineStr">
        <is>
          <t>Quién lo publica</t>
        </is>
      </c>
      <c r="C37" s="66" t="inlineStr">
        <is>
          <t>Documento</t>
        </is>
      </c>
      <c r="D37" s="66" t="inlineStr">
        <is>
          <t>Año</t>
        </is>
      </c>
      <c r="E37" s="66" t="inlineStr">
        <is>
          <t>Qué aporta a este trabajo</t>
        </is>
      </c>
      <c r="F37" s="66" t="inlineStr">
        <is>
          <t>Enlace</t>
        </is>
      </c>
      <c r="G37" s="1" t="n"/>
    </row>
    <row r="38" ht="76.81799999999998" customHeight="1">
      <c r="A38" s="1" t="n"/>
      <c r="B38" s="205" t="inlineStr">
        <is>
          <t>Promoambiental Distrito S.A.S. E.S.P.</t>
        </is>
      </c>
      <c r="C38" s="20" t="inlineStr">
        <is>
          <t>Costos de referencia y tarifas del Área de Servicio Exclusivo 1, que es la que incluye a Usme</t>
        </is>
      </c>
      <c r="D38" s="229" t="inlineStr">
        <is>
          <t>octubre de 2025</t>
        </is>
      </c>
      <c r="E38" s="20" t="inlineStr">
        <is>
          <t>De aquí sale la cifra que ancla todo el modelo: enterrar una tonelada cuesta $45,540,94 de disposición final más $20,952,55 de tratamiento de lixiviados. También la tarifa de aseo de $10,517 al mes para estrato 1 y el parámetro de toneladas por suscriptor con el que se estimó la generación de Usme.</t>
        </is>
      </c>
      <c r="F38" s="230" t="inlineStr">
        <is>
          <t>[Documento directo]
https://www.promoambientaldistrito.com/Tarifas/202510_ASE01.pdf</t>
        </is>
      </c>
      <c r="G38" s="1" t="n"/>
    </row>
    <row r="39" ht="44.309" customHeight="1">
      <c r="A39" s="1" t="n"/>
      <c r="B39" s="206" t="inlineStr">
        <is>
          <t>Área Limpia D.C. S.A.S. E.S.P.</t>
        </is>
      </c>
      <c r="C39" s="22" t="inlineStr">
        <is>
          <t>Costos de referencia y tarifas del Área de Servicio Exclusivo 5</t>
        </is>
      </c>
      <c r="D39" s="231" t="inlineStr">
        <is>
          <t>agosto de 2026</t>
        </is>
      </c>
      <c r="E39" s="22" t="inlineStr">
        <is>
          <t>Datos más recientes de los componentes por tonelada, que se usan para verificar que las cifras del pliego de Usme siguen vigentes.</t>
        </is>
      </c>
      <c r="F39" s="232" t="inlineStr">
        <is>
          <t>[Documento directo]
https://arealimpia.com.co/wp-content/uploads/2026/08/TARIFAS_ASE5_2608.pdf</t>
        </is>
      </c>
      <c r="G39" s="1" t="n"/>
    </row>
    <row r="40" ht="60.5635" customHeight="1">
      <c r="A40" s="1" t="n"/>
      <c r="B40" s="205" t="inlineStr">
        <is>
          <t>Comisión de Regulación de Agua Potable y Saneamiento Básico</t>
        </is>
      </c>
      <c r="C40" s="20" t="inlineStr">
        <is>
          <t>Resolución CRA 720 de 2015, marco tarifario del servicio de aseo</t>
        </is>
      </c>
      <c r="D40" s="229" t="inlineStr">
        <is>
          <t>2015</t>
        </is>
      </c>
      <c r="E40" s="20" t="inlineStr">
        <is>
          <t>Su artículo 31 es la base legal del contrato de tratamiento: permite emplear alternativas al relleno y trasladar su costo a la tarifa, con tope en la suma del costo de disposición final y el de tratamiento de lixiviados.</t>
        </is>
      </c>
      <c r="F40" s="230" t="inlineStr">
        <is>
          <t>[Documento directo]
https://www.promoambientaldistrito.com/wp-content/uploads/2018/09/Resolucion-CRA-720-de-2015.pdf</t>
        </is>
      </c>
      <c r="G40" s="1" t="n"/>
    </row>
    <row r="41" ht="44.309" customHeight="1">
      <c r="A41" s="1" t="n"/>
      <c r="B41" s="206" t="inlineStr">
        <is>
          <t>Ministerio de Vivienda</t>
        </is>
      </c>
      <c r="C41" s="22" t="inlineStr">
        <is>
          <t>Decreto 2412 de 2018, incentivo al aprovechamiento y tratamiento</t>
        </is>
      </c>
      <c r="D41" s="231" t="inlineStr">
        <is>
          <t>2018</t>
        </is>
      </c>
      <c r="E41" s="22" t="inlineStr">
        <is>
          <t>Crea el fondo que en Bogotá suma unos $34,600 millones al año y que menciona expresamente el compostaje. Es la fuente más grande para financiar la inversión inicial.</t>
        </is>
      </c>
      <c r="F41" s="232" t="inlineStr">
        <is>
          <t>[Documento directo]
https://normas.cra.gov.co/gestor/docs/decreto_2412_2018.htm</t>
        </is>
      </c>
      <c r="G41" s="1" t="n"/>
    </row>
    <row r="42" ht="60.5635" customHeight="1">
      <c r="A42" s="1" t="n"/>
      <c r="B42" s="205" t="inlineStr">
        <is>
          <t>Ministerio de Vivienda</t>
        </is>
      </c>
      <c r="C42" s="20" t="inlineStr">
        <is>
          <t>Decreto 596 de 2016, actividad de aprovechamiento y formalización de recicladores</t>
        </is>
      </c>
      <c r="D42" s="229" t="inlineStr">
        <is>
          <t>2016</t>
        </is>
      </c>
      <c r="E42" s="20" t="inlineStr">
        <is>
          <t>Reserva la actividad de aprovechamiento a organizaciones de recicladores de oficio. Se cita precisamente para mostrar que se refiere al material reciclable y no a la comida.</t>
        </is>
      </c>
      <c r="F42" s="230" t="inlineStr">
        <is>
          <t>[Documento directo]
https://normas.cra.gov.co/gestor/docs/decreto_0596_2016.htm</t>
        </is>
      </c>
      <c r="G42" s="1" t="n"/>
    </row>
    <row r="43" ht="60.5635" customHeight="1">
      <c r="A43" s="1" t="n"/>
      <c r="B43" s="206" t="inlineStr">
        <is>
          <t>Congreso de la República</t>
        </is>
      </c>
      <c r="C43" s="22" t="inlineStr">
        <is>
          <t>Ley 142 de 1994, régimen de servicios públicos domiciliarios</t>
        </is>
      </c>
      <c r="D43" s="231" t="inlineStr">
        <is>
          <t>1994</t>
        </is>
      </c>
      <c r="E43" s="22" t="inlineStr">
        <is>
          <t>El numeral 9 de su artículo 99 prohíbe descuentos sobre el valor facturado y el artículo 87.2 consagra el principio de neutralidad tarifaria. Determinan la forma jurídica que debe tomar el incentivo al hogar.</t>
        </is>
      </c>
      <c r="F43" s="232" t="inlineStr">
        <is>
          <t>[Documento directo]
https://www.funcionpublica.gov.co/eva/gestornormativo/norma.php?i=2752</t>
        </is>
      </c>
      <c r="G43" s="1" t="n"/>
    </row>
    <row r="44" ht="44.309" customHeight="1">
      <c r="A44" s="1" t="n"/>
      <c r="B44" s="205" t="inlineStr">
        <is>
          <t>Superintendencia de Servicios Públicos</t>
        </is>
      </c>
      <c r="C44" s="20" t="inlineStr">
        <is>
          <t>Concepto 458 de 2008</t>
        </is>
      </c>
      <c r="D44" s="229" t="inlineStr">
        <is>
          <t>2008</t>
        </is>
      </c>
      <c r="E44" s="20" t="inlineStr">
        <is>
          <t>Interpreta que solo se pueden condonar intereses y nunca el capital. Es la confirmación oficial del impedimento anterior.</t>
        </is>
      </c>
      <c r="F44" s="230" t="inlineStr">
        <is>
          <t>[Documento directo]
https://normas.cra.gov.co/gestor/docs/concepto_superservicios_0000458_2008.htm</t>
        </is>
      </c>
      <c r="G44" s="1" t="n"/>
    </row>
    <row r="45" ht="60.5635" customHeight="1">
      <c r="A45" s="1" t="n"/>
      <c r="B45" s="206" t="inlineStr">
        <is>
          <t>Ministerio de Ambiente</t>
        </is>
      </c>
      <c r="C45" s="22" t="inlineStr">
        <is>
          <t>Resolución 2184 de 2019, código nacional de colores</t>
        </is>
      </c>
      <c r="D45" s="231" t="inlineStr">
        <is>
          <t>vigente desde 2021</t>
        </is>
      </c>
      <c r="E45" s="22" t="inlineStr">
        <is>
          <t>Establece la bolsa verde obligatoria para residuos orgánicos en todo el país. El hábito ciudadano ya está instalado por norma; lo que falta es la ruta que pase a recogerlos.</t>
        </is>
      </c>
      <c r="F45" s="232" t="inlineStr">
        <is>
          <t>[Documento directo]
https://www.minambiente.gov.co/gobierno-unifica-el-codigo-de-colores-para-la-separacion-de-residuos-en-la-fuente-a-nivel-nacional/</t>
        </is>
      </c>
      <c r="G45" s="1" t="n"/>
    </row>
    <row r="46" ht="14" customHeight="1">
      <c r="A46" s="1" t="n"/>
      <c r="B46" s="1" t="n"/>
      <c r="C46" s="1" t="n"/>
      <c r="D46" s="1" t="n"/>
      <c r="E46" s="1" t="n"/>
      <c r="F46" s="1" t="n"/>
      <c r="G46" s="1" t="n"/>
    </row>
    <row r="47" ht="28" customHeight="1">
      <c r="A47" s="1" t="n"/>
      <c r="B47" s="14" t="inlineStr">
        <is>
          <t>Gremios, academia y organismos internacionales  (8)</t>
        </is>
      </c>
      <c r="C47" s="14" t="n"/>
      <c r="D47" s="14" t="n"/>
      <c r="E47" s="14" t="n"/>
      <c r="F47" s="14" t="n"/>
      <c r="G47" s="1" t="n"/>
    </row>
    <row r="48" ht="30" customHeight="1">
      <c r="A48" s="1" t="n"/>
      <c r="B48" s="66" t="inlineStr">
        <is>
          <t>Quién lo publica</t>
        </is>
      </c>
      <c r="C48" s="66" t="inlineStr">
        <is>
          <t>Documento</t>
        </is>
      </c>
      <c r="D48" s="66" t="inlineStr">
        <is>
          <t>Año</t>
        </is>
      </c>
      <c r="E48" s="66" t="inlineStr">
        <is>
          <t>Qué aporta a este trabajo</t>
        </is>
      </c>
      <c r="F48" s="66" t="inlineStr">
        <is>
          <t>Enlace</t>
        </is>
      </c>
      <c r="G48" s="1" t="n"/>
    </row>
    <row r="49" ht="60.5635" customHeight="1">
      <c r="A49" s="1" t="n"/>
      <c r="B49" s="205" t="inlineStr">
        <is>
          <t>Céspedes, T. y Kwok, J., para Greenpeace Colombia</t>
        </is>
      </c>
      <c r="C49" s="20" t="inlineStr">
        <is>
          <t>Estimación de la generación, captura y emisiones de metano del relleno Doña Juana</t>
        </is>
      </c>
      <c r="D49" s="229" t="inlineStr">
        <is>
          <t>2024</t>
        </is>
      </c>
      <c r="E49" s="20" t="inlineStr">
        <is>
          <t>Calculado con la metodología del panel de expertos en clima de Naciones Unidas. Doña Juana acumula un potencial de 2.72 millones de toneladas de metano y produce el 2.02 % del metano de Colombia.</t>
        </is>
      </c>
      <c r="F49" s="230" t="inlineStr">
        <is>
          <t>[Documento directo]
https://www.greenpeace.org/static/planet4-colombia-stateless/2024/09/aa3dab3b-reportemetano-colombia.pdf</t>
        </is>
      </c>
      <c r="G49" s="1" t="n"/>
    </row>
    <row r="50" ht="60.5635" customHeight="1">
      <c r="A50" s="1" t="n"/>
      <c r="B50" s="206" t="inlineStr">
        <is>
          <t>Federación Colombiana de Productores de Papa</t>
        </is>
      </c>
      <c r="C50" s="22" t="inlineStr">
        <is>
          <t>Boletín Regional Cundinamarca y Boletín 240</t>
        </is>
      </c>
      <c r="D50" s="231" t="inlineStr">
        <is>
          <t>2023 y 2026</t>
        </is>
      </c>
      <c r="E50" s="22" t="inlineStr">
        <is>
          <t>Los fertilizantes son el 18.5 % del costo de producir papa variedad Superior en Cundinamarca, y el 95 % de los productores son microempresas. Sustenta el argumento económico frente al campesino.</t>
        </is>
      </c>
      <c r="F50" s="232" t="inlineStr">
        <is>
          <t>[Documento directo]
https://fedepapa.com/home/wp-content/uploads/2024/10/Regional-Cundinamarca.pdf</t>
        </is>
      </c>
      <c r="G50" s="1" t="n"/>
    </row>
    <row r="51" ht="60.5635" customHeight="1">
      <c r="A51" s="1" t="n"/>
      <c r="B51" s="205" t="inlineStr">
        <is>
          <t>Asociación Nacional de Empresarios de Colombia</t>
        </is>
      </c>
      <c r="C51" s="20" t="inlineStr">
        <is>
          <t>Circular City Scan Bogotá-Región</t>
        </is>
      </c>
      <c r="D51" s="229" t="inlineStr">
        <is>
          <t>2026</t>
        </is>
      </c>
      <c r="E51" s="20" t="inlineStr">
        <is>
          <t>Cerca del 60 % del daño climático de la basura de Bogotá viene de la comida, y la ciudad proyecta dejar de usar el relleno hacia 2032.</t>
        </is>
      </c>
      <c r="F51" s="230" t="inlineStr">
        <is>
          <t>[Documento directo]
https://www.andi.com.co/Uploads/260123_Entregable%20final_CCS%20Bogot%C3%A1-Regi%C3%B3n_compressed.pdf</t>
        </is>
      </c>
      <c r="G51" s="1" t="n"/>
    </row>
    <row r="52" ht="60.5635" customHeight="1">
      <c r="A52" s="1" t="n"/>
      <c r="B52" s="206" t="inlineStr">
        <is>
          <t>Banco Mundial</t>
        </is>
      </c>
      <c r="C52" s="22" t="inlineStr">
        <is>
          <t>Commodity Markets Outlook, edición de septiembre de 2026</t>
        </is>
      </c>
      <c r="D52" s="231" t="inlineStr">
        <is>
          <t>2026</t>
        </is>
      </c>
      <c r="E52" s="22" t="inlineStr">
        <is>
          <t>Precios internacionales de fertilizantes. La urea llegó a 856.9 dólares por tonelada en abril de 2026 por la crisis del Estrecho de Ormuz y cayó a 390 en agosto.</t>
        </is>
      </c>
      <c r="F52" s="232" t="inlineStr">
        <is>
          <t>[Documento directo]
https://thedocs.worldbank.org/en/doc/74e8be41ceb20fa0da750cda2f6b9e4e-0050012026/related/CMO-Pink-Sheet-September-2026.pdf</t>
        </is>
      </c>
      <c r="G52" s="1" t="n"/>
    </row>
    <row r="53" ht="60.5635" customHeight="1">
      <c r="A53" s="1" t="n"/>
      <c r="B53" s="205" t="inlineStr">
        <is>
          <t>Abdallah, M., Adghim, M., Maraqa, M. y Aldahab, E.</t>
        </is>
      </c>
      <c r="C53" s="20" t="inlineStr">
        <is>
          <t>Simulation and optimization of dynamic waste collection routes, revista Waste Management &amp; Research</t>
        </is>
      </c>
      <c r="D53" s="229" t="inlineStr">
        <is>
          <t>2019</t>
        </is>
      </c>
      <c r="E53" s="20" t="inlineStr">
        <is>
          <t>Evidencia académica de cuánto ahorra realmente optimizar rutas: cerca del 16 %, muy por debajo del 86 % que publicitan los vendedores de sensores. Es la razón por la que el modelo usa 20 % y no la cifra comercial.</t>
        </is>
      </c>
      <c r="F53" s="230" t="inlineStr">
        <is>
          <t>[Documento directo]
https://journals.sagepub.com/doi/full/10.1177/0734242X19833152</t>
        </is>
      </c>
      <c r="G53" s="1" t="n"/>
    </row>
    <row r="54" ht="60.5635" customHeight="1">
      <c r="A54" s="1" t="n"/>
      <c r="B54" s="206" t="inlineStr">
        <is>
          <t>AGROSAVIA</t>
        </is>
      </c>
      <c r="C54" s="22" t="inlineStr">
        <is>
          <t>Impactos y posibles soluciones a la degradación de suelos en Colombia</t>
        </is>
      </c>
      <c r="D54" s="231" t="inlineStr">
        <is>
          <t>consultado en 2026</t>
        </is>
      </c>
      <c r="E54" s="22" t="inlineStr">
        <is>
          <t>Propone el compost a partir de residuos como solución a la degradación de suelos. Su centro de investigación está en Mosquera, en plena Sabana, y sería el aliado natural para certificar que el abono funciona.</t>
        </is>
      </c>
      <c r="F54" s="232" t="inlineStr">
        <is>
          <t>[Portal oficial donde se consulta]
https://www.agrosavia.co/noticias/impactos-y-posibles-soluciones-a-la-degradaci%C3%B3n-de-suelos-en-colombia</t>
        </is>
      </c>
      <c r="G54" s="1" t="n"/>
    </row>
    <row r="55" ht="60.5635" customHeight="1">
      <c r="A55" s="1" t="n"/>
      <c r="B55" s="205" t="inlineStr">
        <is>
          <t>Korea Herald</t>
        </is>
      </c>
      <c r="C55" s="20" t="inlineStr">
        <is>
          <t>Una década de reducción de desperdicio de comida en Seúl</t>
        </is>
      </c>
      <c r="D55" s="229" t="inlineStr">
        <is>
          <t>2026</t>
        </is>
      </c>
      <c r="E55" s="20" t="inlineStr">
        <is>
          <t>Corea del Sur pasó del 2.6 % al 97.5 % de reciclaje de residuos de comida cobrando por peso, no premiando. Es la evidencia que obligó a rediseñar el sistema de incentivos de Recoevo.</t>
        </is>
      </c>
      <c r="F55" s="230" t="inlineStr">
        <is>
          <t>[Documento directo]
https://www.koreaherald.com/article/10638389</t>
        </is>
      </c>
      <c r="G55" s="1" t="n"/>
    </row>
    <row r="56" ht="44.309" customHeight="1">
      <c r="A56" s="1" t="n"/>
      <c r="B56" s="206" t="inlineStr">
        <is>
          <t>Agencia de Protección Ambiental de Estados Unidos</t>
        </is>
      </c>
      <c r="C56" s="22" t="inlineStr">
        <is>
          <t>Composting in WARM, modelo de reducción de residuos</t>
        </is>
      </c>
      <c r="D56" s="231" t="inlineStr">
        <is>
          <t>2012</t>
        </is>
      </c>
      <c r="E56" s="22" t="inlineStr">
        <is>
          <t>Factor de emisión del compostaje: menos 0.20 toneladas de CO₂ por tonelada tratada, contando el carbono que queda almacenado en el suelo.</t>
        </is>
      </c>
      <c r="F56" s="232" t="inlineStr">
        <is>
          <t>[Documento directo]
https://archive.epa.gov/epawaste/conserve/tools/warm/pdfs/cmpstng_ovrview.pdf</t>
        </is>
      </c>
      <c r="G56" s="1" t="n"/>
    </row>
    <row r="57" ht="14" customHeight="1">
      <c r="A57" s="1" t="n"/>
      <c r="B57" s="1" t="n"/>
      <c r="C57" s="1" t="n"/>
      <c r="D57" s="1" t="n"/>
      <c r="E57" s="1" t="n"/>
      <c r="F57" s="1" t="n"/>
      <c r="G57" s="1" t="n"/>
    </row>
    <row r="58" ht="28" customHeight="1">
      <c r="A58" s="1" t="n"/>
      <c r="B58" s="14" t="inlineStr">
        <is>
          <t>Catálogos y proveedores de donde salen los precios del aparato  (11)</t>
        </is>
      </c>
      <c r="C58" s="14" t="n"/>
      <c r="D58" s="14" t="n"/>
      <c r="E58" s="14" t="n"/>
      <c r="F58" s="14" t="n"/>
      <c r="G58" s="1" t="n"/>
    </row>
    <row r="59" ht="30" customHeight="1">
      <c r="A59" s="1" t="n"/>
      <c r="B59" s="66" t="inlineStr">
        <is>
          <t>Quién lo publica</t>
        </is>
      </c>
      <c r="C59" s="66" t="inlineStr">
        <is>
          <t>Documento</t>
        </is>
      </c>
      <c r="D59" s="66" t="inlineStr">
        <is>
          <t>Año</t>
        </is>
      </c>
      <c r="E59" s="66" t="inlineStr">
        <is>
          <t>Qué aporta a este trabajo</t>
        </is>
      </c>
      <c r="F59" s="66" t="inlineStr">
        <is>
          <t>Enlace</t>
        </is>
      </c>
      <c r="G59" s="1" t="n"/>
    </row>
    <row r="60" ht="44.309" customHeight="1">
      <c r="A60" s="1" t="n"/>
      <c r="B60" s="205" t="inlineStr">
        <is>
          <t>LCSC Electronics</t>
        </is>
      </c>
      <c r="C60" s="20" t="inlineStr">
        <is>
          <t>Catálogo del microcontrolador ESP32-C3</t>
        </is>
      </c>
      <c r="D60" s="229" t="inlineStr">
        <is>
          <t>2026</t>
        </is>
      </c>
      <c r="E60" s="20" t="inlineStr">
        <is>
          <t>Precio verificado del cerebro del aparato: 1,1899 dólares a 1,000 unidades.</t>
        </is>
      </c>
      <c r="F60" s="230" t="inlineStr">
        <is>
          <t>[Catálogo o tienda del proveedor]
https://www.lcsc.com/</t>
        </is>
      </c>
      <c r="G60" s="1" t="n"/>
    </row>
    <row r="61" ht="44.309" customHeight="1">
      <c r="A61" s="1" t="n"/>
      <c r="B61" s="206" t="inlineStr">
        <is>
          <t>Rokland</t>
        </is>
      </c>
      <c r="C61" s="22" t="inlineStr">
        <is>
          <t>Módulo de radio Ai-Thinker Ra-01SH-P con chip SX1262</t>
        </is>
      </c>
      <c r="D61" s="231" t="inlineStr">
        <is>
          <t>2026</t>
        </is>
      </c>
      <c r="E61" s="22" t="inlineStr">
        <is>
          <t>Precio al público verificado de 10.97 dólares, sobre el que se aplicó el descuento de fabricante.</t>
        </is>
      </c>
      <c r="F61" s="232" t="inlineStr">
        <is>
          <t>[Catálogo o tienda del proveedor]
https://store.rokland.com/products/ra-01sh-p-lora-module-ai-thinker</t>
        </is>
      </c>
      <c r="G61" s="1" t="n"/>
    </row>
    <row r="62" ht="60.5635" customHeight="1">
      <c r="A62" s="1" t="n"/>
      <c r="B62" s="205" t="inlineStr">
        <is>
          <t>Alibaba</t>
        </is>
      </c>
      <c r="C62" s="20" t="inlineStr">
        <is>
          <t>Kit de celda de carga con amplificador HX711 de 1 a 20 kilos</t>
        </is>
      </c>
      <c r="D62" s="229" t="inlineStr">
        <is>
          <t>2026</t>
        </is>
      </c>
      <c r="E62" s="20" t="inlineStr">
        <is>
          <t>Precio verificado por tramos: 4.00 dólares entre 10 y 49 unidades, 3.80 entre 50 y 99, y 3.50 desde 100. Es la báscula que pesa lo que la familia deposita.</t>
        </is>
      </c>
      <c r="F62" s="230" t="inlineStr">
        <is>
          <t>[Catálogo o tienda del proveedor]
https://www.alibaba.com/product-detail/HX711-Digital-Load-Cell-Weight-Sensor_1600349473906.html</t>
        </is>
      </c>
      <c r="G62" s="1" t="n"/>
    </row>
    <row r="63" ht="60.5635" customHeight="1">
      <c r="A63" s="1" t="n"/>
      <c r="B63" s="206" t="inlineStr">
        <is>
          <t>RAKwireless</t>
        </is>
      </c>
      <c r="C63" s="22" t="inlineStr">
        <is>
          <t>Estación base LoRaWAN WisGate Edge Lite 2</t>
        </is>
      </c>
      <c r="D63" s="231" t="inlineStr">
        <is>
          <t>2026</t>
        </is>
      </c>
      <c r="E63" s="22" t="inlineStr">
        <is>
          <t>Precio verificado de la antena de barrio: 154 dólares la versión interior y entre 234 y 247 con módem. Sobre esa base se estimó la versión exterior resistente a la intemperie.</t>
        </is>
      </c>
      <c r="F63" s="232" t="inlineStr">
        <is>
          <t>[Catálogo o tienda del proveedor]
https://store.rakwireless.com/products/rak7268-8-channel-indoor-lorawan-gateway</t>
        </is>
      </c>
      <c r="G63" s="1" t="n"/>
    </row>
    <row r="64" ht="60.5635" customHeight="1">
      <c r="A64" s="1" t="n"/>
      <c r="B64" s="205" t="inlineStr">
        <is>
          <t>Haizol</t>
        </is>
      </c>
      <c r="C64" s="20" t="inlineStr">
        <is>
          <t>Cotizaciones de moldes de inyección por tipo de acero y número de cavidades</t>
        </is>
      </c>
      <c r="D64" s="229" t="inlineStr">
        <is>
          <t>2026</t>
        </is>
      </c>
      <c r="E64" s="20" t="inlineStr">
        <is>
          <t>Rangos verificados del costo de los moldes de acuerdo con el tipo de acero y el número de cavidades. Sustentan el valor del molde del chasis y de la tapa, que es lo que permite que el aparato sea una pieza de diseño propio y no un recipiente adaptado.</t>
        </is>
      </c>
      <c r="F64" s="230" t="inlineStr">
        <is>
          <t>[Catálogo o tienda del proveedor]
https://www.haizol.com/</t>
        </is>
      </c>
      <c r="G64" s="1" t="n"/>
    </row>
    <row r="65" ht="44.309" customHeight="1">
      <c r="A65" s="1" t="n"/>
      <c r="B65" s="206" t="inlineStr">
        <is>
          <t>Tumatera</t>
        </is>
      </c>
      <c r="C65" s="22" t="inlineStr">
        <is>
          <t>Bulto de compost de 50 kilos</t>
        </is>
      </c>
      <c r="D65" s="231" t="inlineStr">
        <is>
          <t>2026</t>
        </is>
      </c>
      <c r="E65" s="22" t="inlineStr">
        <is>
          <t>Precio de venta al público del abono empacado: entre $33,915 y $39,900 el bulto, que equivale a entre $678,000 y $798,000 por tonelada. Es el canal que mejor paga.</t>
        </is>
      </c>
      <c r="F65" s="232" t="inlineStr">
        <is>
          <t>[Catálogo o tienda del proveedor]
https://tumatera.co/products/bulto-compost-x-50-kg</t>
        </is>
      </c>
      <c r="G65" s="1" t="n"/>
    </row>
    <row r="66" ht="44.309" customHeight="1">
      <c r="A66" s="1" t="n"/>
      <c r="B66" s="205" t="inlineStr">
        <is>
          <t>Logitools</t>
        </is>
      </c>
      <c r="C66" s="20" t="inlineStr">
        <is>
          <t>Guía de costos operativos de un camión en Colombia</t>
        </is>
      </c>
      <c r="D66" s="229" t="inlineStr">
        <is>
          <t>2026</t>
        </is>
      </c>
      <c r="E66" s="20" t="inlineStr">
        <is>
          <t>Costo total de operación entre $2,300 y $2,500 por kilómetro, que es la base del cálculo de la ruta de recolección.</t>
        </is>
      </c>
      <c r="F66" s="230" t="inlineStr">
        <is>
          <t>[Portal oficial donde se consulta]
https://logitools.co/guias/costo-operativo-camion-colombia</t>
        </is>
      </c>
      <c r="G66" s="1" t="n"/>
    </row>
    <row r="67" ht="60.5635" customHeight="1">
      <c r="A67" s="1" t="n"/>
      <c r="B67" s="206" t="inlineStr">
        <is>
          <t>Valora Analitik</t>
        </is>
      </c>
      <c r="C67" s="22" t="inlineStr">
        <is>
          <t>Camión eléctrico BYD T35 llega a Colombia</t>
        </is>
      </c>
      <c r="D67" s="231" t="inlineStr">
        <is>
          <t>2026</t>
        </is>
      </c>
      <c r="E67" s="22" t="inlineStr">
        <is>
          <t>Precio de $140,000,000 y ahorro de entre 70 % y 80 % en costo por kilómetro frente al diésel. Es la alternativa a evaluar para la flota.</t>
        </is>
      </c>
      <c r="F67" s="232" t="inlineStr">
        <is>
          <t>[Documento directo]
https://www.valoraanalitik.com/camion-electrico-llega-a-colombia-carga-en-una-hora-y-ahorra-costos/</t>
        </is>
      </c>
      <c r="G67" s="1" t="n"/>
    </row>
    <row r="68" ht="44.309" customHeight="1">
      <c r="A68" s="1" t="n"/>
      <c r="B68" s="205" t="inlineStr">
        <is>
          <t>OPS Colombia</t>
        </is>
      </c>
      <c r="C68" s="20" t="inlineStr">
        <is>
          <t>Tarifas de energía eléctrica por operador</t>
        </is>
      </c>
      <c r="D68" s="229" t="inlineStr">
        <is>
          <t>agosto de 2026</t>
        </is>
      </c>
      <c r="E68" s="20" t="inlineStr">
        <is>
          <t>Tarifa de Enel-Codensa de $864 por kilovatio hora, con la que se calculó que el aparato le cuesta a la familia entre $173 y $562 al mes.</t>
        </is>
      </c>
      <c r="F68" s="230" t="inlineStr">
        <is>
          <t>[Portal oficial donde se consulta]
https://www.opscolombia.com/tarifas-energia</t>
        </is>
      </c>
      <c r="G68" s="1" t="n"/>
    </row>
    <row r="69" ht="60.5635" customHeight="1">
      <c r="A69" s="1" t="n"/>
      <c r="B69" s="206" t="inlineStr">
        <is>
          <t>ICONTEC</t>
        </is>
      </c>
      <c r="C69" s="22" t="inlineStr">
        <is>
          <t>Norma técnica NTC 5167, productos orgánicos usados como abonos</t>
        </is>
      </c>
      <c r="D69" s="231" t="inlineStr">
        <is>
          <t>2011</t>
        </is>
      </c>
      <c r="E69" s="22" t="inlineStr">
        <is>
          <t>Fija los parámetros de calidad que debe cumplir el compost para poder registrarse ante el ICA: materia orgánica, humedad, acidez, relación carbono-nitrógeno, metales pesados y ausencia de patógenos. La norma se adquiere en la tienda del instituto.</t>
        </is>
      </c>
      <c r="F69" s="232" t="inlineStr">
        <is>
          <t>[Portal oficial donde se consulta]
https://tienda.icontec.org/</t>
        </is>
      </c>
      <c r="G69" s="1" t="n"/>
    </row>
    <row r="70" ht="44.309" customHeight="1">
      <c r="A70" s="1" t="n"/>
      <c r="B70" s="205" t="inlineStr">
        <is>
          <t>Comisión Electrotécnica Internacional</t>
        </is>
      </c>
      <c r="C70" s="20" t="inlineStr">
        <is>
          <t>Norma IEC 60335-2-16, requisitos de seguridad para trituradores domésticos de residuos de comida</t>
        </is>
      </c>
      <c r="D70" s="229" t="inlineStr">
        <is>
          <t>2022</t>
        </is>
      </c>
      <c r="E70" s="20" t="inlineStr">
        <is>
          <t>Es la norma de producto que exige el enclavamiento que impide que el motor arranque con la tapa abierta. Se consulta y adquiere en la tienda del organismo.</t>
        </is>
      </c>
      <c r="F70" s="230" t="inlineStr">
        <is>
          <t>[Portal oficial donde se consulta]
https://webstore.iec.ch/</t>
        </is>
      </c>
      <c r="G70" s="1" t="n"/>
    </row>
    <row r="71" ht="14" customHeight="1">
      <c r="A71" s="1" t="n"/>
      <c r="B71" s="1" t="n"/>
      <c r="C71" s="1" t="n"/>
      <c r="D71" s="1" t="n"/>
      <c r="E71" s="1" t="n"/>
      <c r="F71" s="1" t="n"/>
      <c r="G71" s="1" t="n"/>
    </row>
    <row r="72" ht="26" customHeight="1">
      <c r="A72" s="1" t="n"/>
      <c r="B72" s="84" t="inlineStr">
        <is>
          <t>Los cuatro informes completos de investigación</t>
        </is>
      </c>
      <c r="C72" s="84" t="n"/>
      <c r="D72" s="84" t="n"/>
      <c r="E72" s="84" t="n"/>
      <c r="F72" s="84" t="n"/>
      <c r="G72" s="1" t="n"/>
    </row>
    <row r="73" ht="49.4" customHeight="1">
      <c r="A73" s="1" t="n"/>
      <c r="B73" s="15" t="inlineStr">
        <is>
          <t>Este libro es el resumen ejecutable de una investigación mucho más extensa. Los cuatro informes completos, con más de 4,700 líneas y 340 cifras con su fuente, están guardados en la carpeta «Investigacion_y_Analisis» del proyecto: el primero sobre los residuos orgánicos de Usme, el segundo sobre los fertilizantes químicos de la Sabana, el tercero sobre la tecnología y el despiece de costos del aparato, y el cuarto sobre regulación, tarifas, mercado y financiación. En esta hoja se citan las 47 fuentes principales; los informes contienen la lista completa.</t>
        </is>
      </c>
      <c r="C73" s="15" t="n"/>
      <c r="D73" s="15" t="n"/>
      <c r="E73" s="15" t="n"/>
      <c r="F73" s="15" t="n"/>
      <c r="G73" s="1" t="n"/>
    </row>
    <row r="74" ht="8" customHeight="1">
      <c r="A74" s="1" t="n"/>
      <c r="B74" s="1" t="n"/>
      <c r="C74" s="1" t="n"/>
      <c r="D74" s="1" t="n"/>
      <c r="E74" s="1" t="n"/>
      <c r="F74" s="1" t="n"/>
      <c r="G74" s="1" t="n"/>
    </row>
    <row r="75" ht="20" customHeight="1">
      <c r="A75" s="1" t="n"/>
      <c r="B75" s="201" t="inlineStr">
        <is>
          <t>Nota sobre el archivo original</t>
        </is>
      </c>
      <c r="C75" s="201" t="n"/>
      <c r="D75" s="201" t="n"/>
      <c r="E75" s="201" t="n"/>
      <c r="F75" s="201" t="n"/>
      <c r="G75" s="1" t="n"/>
    </row>
    <row r="76" ht="44.309" customHeight="1">
      <c r="A76" s="1" t="n"/>
      <c r="B76" s="202" t="inlineStr">
        <is>
          <t>El archivo «PROCESO ADMINISTRATIVO.xlsx» que se entregó como referencia corresponde a otro proyecto distinto: COMIDAR, una red de donación de alimentos en la localidad de Kennedy. Se conservó su estructura de tres hojas como referencia de formato, pero ninguno de sus contenidos era aplicable a Recoevo. Todo el contenido de este libro es original y está sustentado en las fuentes citadas arriba. El volcado íntegro del archivo original quedó guardado para efectos de trazabilidad.</t>
        </is>
      </c>
      <c r="C76" s="202" t="n"/>
      <c r="D76" s="202" t="n"/>
      <c r="E76" s="202" t="n"/>
      <c r="F76" s="202" t="n"/>
      <c r="G76" s="1" t="n"/>
    </row>
    <row r="77">
      <c r="A77" s="1" t="n"/>
      <c r="B77" s="1" t="n"/>
      <c r="C77" s="1" t="n"/>
      <c r="D77" s="1" t="n"/>
      <c r="E77" s="1" t="n"/>
      <c r="F77" s="1" t="n"/>
      <c r="G77" s="1" t="n"/>
    </row>
    <row r="78">
      <c r="A78" s="1" t="n"/>
      <c r="B78" s="1" t="n"/>
      <c r="C78" s="1" t="n"/>
      <c r="D78" s="1" t="n"/>
      <c r="E78" s="1" t="n"/>
      <c r="F78" s="1" t="n"/>
      <c r="G78" s="1" t="n"/>
    </row>
    <row r="79">
      <c r="A79" s="1" t="n"/>
      <c r="B79" s="1" t="n"/>
      <c r="C79" s="1" t="n"/>
      <c r="D79" s="1" t="n"/>
      <c r="E79" s="1" t="n"/>
      <c r="F79" s="1" t="n"/>
      <c r="G79" s="1" t="n"/>
    </row>
  </sheetData>
  <mergeCells count="14">
    <mergeCell ref="B4:F4"/>
    <mergeCell ref="B75:F75"/>
    <mergeCell ref="B73:F73"/>
    <mergeCell ref="B7:F7"/>
    <mergeCell ref="B47:F47"/>
    <mergeCell ref="B2:F2"/>
    <mergeCell ref="B11:F11"/>
    <mergeCell ref="B72:F72"/>
    <mergeCell ref="B3:F3"/>
    <mergeCell ref="B5:F5"/>
    <mergeCell ref="B76:F76"/>
    <mergeCell ref="B36:F36"/>
    <mergeCell ref="B26:F26"/>
    <mergeCell ref="B58:F58"/>
  </mergeCells>
  <printOptions horizontalCentered="1"/>
  <pageMargins left="0.4" right="0.4" top="0.5" bottom="0.5" header="0.5" footer="0.5"/>
  <pageSetup orientation="landscape" paperSize="9" fitToHeight="0" fitToWidth="1"/>
  <ignoredErrors>
    <ignoredError sqref="A1:G79" numberStoredAsText="1"/>
  </ignoredError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William H Fonseca</dc:creator>
  <dc:title xmlns:dc="http://purl.org/dc/elements/1.1/">Recoevo — Proyecto de economía circular en Usme</dc:title>
  <dc:description xmlns:dc="http://purl.org/dc/elements/1.1/">Aprovechamiento de los residuos orgánicos de Usme mediante un dispositivo de hogar y uno comercial, recolección inteligente y producción de abono para la Sabana de Bogotá. Incluye resumen ejecutivo, análisis PESTA, modelo Canvas, costeo financiero con fórmulas, detalle técnico del aparato y bibliografía completa.</dc:description>
  <dc:subject xmlns:dc="http://purl.org/dc/elements/1.1/">Proceso Administrativo · Tercer semestre</dc:subject>
  <dcterms:created xmlns:dcterms="http://purl.org/dc/terms/" xmlns:xsi="http://www.w3.org/2001/XMLSchema-instance" xsi:type="dcterms:W3CDTF">2026-09-17T04:33:12Z</dcterms:created>
  <dcterms:modified xmlns:dcterms="http://purl.org/dc/terms/" xmlns:xsi="http://www.w3.org/2001/XMLSchema-instance" xsi:type="dcterms:W3CDTF">2026-09-17T04:33:12Z</dcterms:modified>
  <cp:lastModifiedBy>William H Fonseca</cp:lastModifiedBy>
  <cp:keywords>economía circular; residuos orgánicos; Usme; compostaje; Bogotá</cp:keywords>
</cp:coreProperties>
</file>